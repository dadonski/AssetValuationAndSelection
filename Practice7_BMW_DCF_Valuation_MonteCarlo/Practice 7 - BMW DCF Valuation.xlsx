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Statements" sheetId="1" r:id="rId4"/>
    <sheet state="visible" name="FCF" sheetId="2" r:id="rId5"/>
    <sheet state="visible" name="WACC" sheetId="3" r:id="rId6"/>
    <sheet state="visible" name="DCF" sheetId="4" r:id="rId7"/>
    <sheet state="visible" name="DAX40" sheetId="5" r:id="rId8"/>
  </sheets>
  <definedNames/>
  <calcPr/>
  <extLst>
    <ext uri="GoogleSheetsCustomDataVersion2">
      <go:sheetsCustomData xmlns:go="http://customooxmlschemas.google.com/" r:id="rId9" roundtripDataChecksum="D88iUQ+6Qcu/M6lAxeXKYnybzIJkAIyxO/8sUgKNiPs="/>
    </ext>
  </extLst>
</workbook>
</file>

<file path=xl/sharedStrings.xml><?xml version="1.0" encoding="utf-8"?>
<sst xmlns="http://schemas.openxmlformats.org/spreadsheetml/2006/main" count="87" uniqueCount="82">
  <si>
    <r>
      <rPr>
        <rFont val="Calibri"/>
        <b/>
        <color theme="0"/>
        <sz val="9.0"/>
      </rPr>
      <t xml:space="preserve">BMW Income Statement </t>
    </r>
    <r>
      <rPr>
        <rFont val="Calibri"/>
        <b val="0"/>
        <color theme="0"/>
        <sz val="9.0"/>
      </rPr>
      <t>(in € million)</t>
    </r>
  </si>
  <si>
    <t>Revenues</t>
  </si>
  <si>
    <t>Cost of sales</t>
  </si>
  <si>
    <t>Gross profit</t>
  </si>
  <si>
    <t>Selling and administrative expenses</t>
  </si>
  <si>
    <t>Other operating income and expenses</t>
  </si>
  <si>
    <t>Profit before financial result</t>
  </si>
  <si>
    <t>Financial result</t>
  </si>
  <si>
    <t>Profit before tax</t>
  </si>
  <si>
    <t>Income taxes</t>
  </si>
  <si>
    <t>Net profit</t>
  </si>
  <si>
    <r>
      <rPr>
        <rFont val="Calibri"/>
        <b/>
        <color theme="0"/>
        <sz val="9.0"/>
      </rPr>
      <t xml:space="preserve">BMW Balance Sheet </t>
    </r>
    <r>
      <rPr>
        <rFont val="Calibri"/>
        <b val="0"/>
        <color theme="0"/>
        <sz val="9.0"/>
      </rPr>
      <t>(in € million)</t>
    </r>
  </si>
  <si>
    <t>Intangible assets</t>
  </si>
  <si>
    <t>Property, plant and equipment</t>
  </si>
  <si>
    <t>Leased products</t>
  </si>
  <si>
    <t>Investments accounted for using the equity method</t>
  </si>
  <si>
    <t>Other investments</t>
  </si>
  <si>
    <t>Receivables from sales financing</t>
  </si>
  <si>
    <t>Financial assets</t>
  </si>
  <si>
    <t>Deferred and current tax</t>
  </si>
  <si>
    <t>Other assets</t>
  </si>
  <si>
    <t>Inventories</t>
  </si>
  <si>
    <t>Trade receivables</t>
  </si>
  <si>
    <t>Cash and cash equivalents</t>
  </si>
  <si>
    <t>Total assets</t>
  </si>
  <si>
    <t>Equity</t>
  </si>
  <si>
    <t>Pension provisions</t>
  </si>
  <si>
    <t>Other provisions</t>
  </si>
  <si>
    <t>Financial liabilities</t>
  </si>
  <si>
    <t>Trade payables</t>
  </si>
  <si>
    <t>Other liabilities</t>
  </si>
  <si>
    <t>Total equity and liabilities</t>
  </si>
  <si>
    <t>CAPEX</t>
  </si>
  <si>
    <t>Depreciation and amortisation of tangible and intangible assets</t>
  </si>
  <si>
    <t>Changes in Working Capital</t>
  </si>
  <si>
    <t>Average or 2024</t>
  </si>
  <si>
    <t>Assumptions:</t>
  </si>
  <si>
    <t>Growth rate of revenues</t>
  </si>
  <si>
    <t>Cost of sales/Revenues</t>
  </si>
  <si>
    <t>Selling and administrative expenses/Revenues</t>
  </si>
  <si>
    <t>Other operating income and expenses/Revenues</t>
  </si>
  <si>
    <t>EBIT Margin</t>
  </si>
  <si>
    <t>PPE+Intangible Assets</t>
  </si>
  <si>
    <t>CAPEX/Revenues</t>
  </si>
  <si>
    <t>Depreciation and amortisation of tangible and intangible assets/Fixed Assets(t-1)</t>
  </si>
  <si>
    <t>Changes in Working Capital/Revenues</t>
  </si>
  <si>
    <t>Corporate tax rate in Germany</t>
  </si>
  <si>
    <t>Net Profit Margin</t>
  </si>
  <si>
    <r>
      <rPr>
        <rFont val="Calibri"/>
        <i/>
        <color theme="0"/>
        <sz val="9.0"/>
      </rPr>
      <t>Free Cash Flows</t>
    </r>
    <r>
      <rPr>
        <rFont val="Calibri"/>
        <color theme="0"/>
        <sz val="9.0"/>
      </rPr>
      <t xml:space="preserve"> (in € million)</t>
    </r>
  </si>
  <si>
    <r>
      <rPr>
        <rFont val="Calibri"/>
        <color theme="1"/>
        <sz val="9.0"/>
      </rPr>
      <t>EBIT(1-</t>
    </r>
    <r>
      <rPr>
        <rFont val="Times New Roman"/>
        <i/>
        <color theme="1"/>
        <sz val="9.0"/>
      </rPr>
      <t>T</t>
    </r>
    <r>
      <rPr>
        <rFont val="Calibri"/>
        <color theme="1"/>
        <sz val="9.0"/>
      </rPr>
      <t>c)</t>
    </r>
  </si>
  <si>
    <t>Depreciation</t>
  </si>
  <si>
    <t>Increases in NWC</t>
  </si>
  <si>
    <t>FCF</t>
  </si>
  <si>
    <t>WACC Calculation:</t>
  </si>
  <si>
    <t>risk free rate</t>
  </si>
  <si>
    <t>spread</t>
  </si>
  <si>
    <t>Cost of debt</t>
  </si>
  <si>
    <t>Liabilities/Total Assets 2023</t>
  </si>
  <si>
    <t>stock Beta</t>
  </si>
  <si>
    <t>Market risk premium</t>
  </si>
  <si>
    <t>Cost of Equity</t>
  </si>
  <si>
    <t>Equity/Total Assets 2023</t>
  </si>
  <si>
    <t>WACC</t>
  </si>
  <si>
    <t>g</t>
  </si>
  <si>
    <t>DCF</t>
  </si>
  <si>
    <t>TV 2028</t>
  </si>
  <si>
    <t>discount factor</t>
  </si>
  <si>
    <t>Enterprise Value</t>
  </si>
  <si>
    <t>Net Financial Debt</t>
  </si>
  <si>
    <t>Provisions</t>
  </si>
  <si>
    <t>Equity Value</t>
  </si>
  <si>
    <t>Shares outstanding</t>
  </si>
  <si>
    <r>
      <rPr>
        <rFont val="Calibri"/>
        <b/>
        <color theme="0"/>
        <sz val="9.0"/>
      </rPr>
      <t>Stock price</t>
    </r>
    <r>
      <rPr>
        <rFont val="Calibri"/>
        <color theme="0"/>
        <sz val="9.0"/>
      </rPr>
      <t xml:space="preserve"> </t>
    </r>
    <r>
      <rPr>
        <rFont val="Calibri"/>
        <i/>
        <color theme="0"/>
        <sz val="9.0"/>
      </rPr>
      <t>(Fair Value)</t>
    </r>
  </si>
  <si>
    <t>Current stock price</t>
  </si>
  <si>
    <t>Current Difference (%)</t>
  </si>
  <si>
    <t>MARGIN OF SAFETY</t>
  </si>
  <si>
    <t>Acceptable buy price (lower limit)</t>
  </si>
  <si>
    <t>Upper limit</t>
  </si>
  <si>
    <t>Date</t>
  </si>
  <si>
    <t>DAX40 Price</t>
  </si>
  <si>
    <t>Return</t>
  </si>
  <si>
    <t>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</si>
</sst>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(#,##0\);\-"/>
    <numFmt numFmtId="165" formatCode="0.0%"/>
    <numFmt numFmtId="166" formatCode="0.000"/>
    <numFmt numFmtId="167" formatCode="#,##0.00\ &quot;€&quot;"/>
    <numFmt numFmtId="168" formatCode="_-* #,##0.00\ &quot;€&quot;_-;\-* #,##0.00\ &quot;€&quot;_-;_-* &quot;-&quot;??\ &quot;€&quot;_-;_-@"/>
    <numFmt numFmtId="169" formatCode="d/m/yyyy"/>
  </numFmts>
  <fonts count="9">
    <font>
      <sz val="11.0"/>
      <color theme="1"/>
      <name val="Aptos Narrow"/>
      <scheme val="minor"/>
    </font>
    <font>
      <b/>
      <sz val="9.0"/>
      <color theme="0"/>
      <name val="Calibri"/>
    </font>
    <font>
      <sz val="9.0"/>
      <color theme="1"/>
      <name val="Calibri"/>
    </font>
    <font>
      <b/>
      <sz val="9.0"/>
      <color theme="1"/>
      <name val="Calibri"/>
    </font>
    <font/>
    <font>
      <b/>
      <sz val="9.0"/>
      <color rgb="FFFF0000"/>
      <name val="Calibri"/>
    </font>
    <font>
      <sz val="11.0"/>
      <color theme="1"/>
      <name val="Aptos Narrow"/>
    </font>
    <font>
      <sz val="9.0"/>
      <color theme="0"/>
      <name val="Calibri"/>
    </font>
    <font>
      <sz val="9.0"/>
      <color rgb="FF3A7D2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BF4F14"/>
        <bgColor rgb="FFBF4F14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</fills>
  <borders count="44">
    <border/>
    <border>
      <left/>
      <right/>
      <top/>
      <bottom/>
    </border>
    <border>
      <left style="thin">
        <color rgb="FF4D94D8"/>
      </left>
      <right/>
      <top style="thin">
        <color rgb="FF4D94D8"/>
      </top>
      <bottom/>
    </border>
    <border>
      <left/>
      <right/>
      <top style="thin">
        <color rgb="FF4D94D8"/>
      </top>
      <bottom/>
    </border>
    <border>
      <left style="thin">
        <color rgb="FFBF4F14"/>
      </left>
      <right/>
      <top style="thin">
        <color rgb="FFBF4F14"/>
      </top>
      <bottom/>
    </border>
    <border>
      <left/>
      <right/>
      <top style="thin">
        <color rgb="FFBF4F14"/>
      </top>
      <bottom/>
    </border>
    <border>
      <left/>
      <right style="thin">
        <color rgb="FFBF4F14"/>
      </right>
      <top style="thin">
        <color rgb="FFBF4F14"/>
      </top>
      <bottom/>
    </border>
    <border>
      <left style="thin">
        <color rgb="FF4D94D8"/>
      </left>
    </border>
    <border>
      <left style="thin">
        <color rgb="FFBF4F14"/>
      </left>
    </border>
    <border>
      <right style="thin">
        <color rgb="FFBF4F14"/>
      </right>
    </border>
    <border>
      <left style="thin">
        <color rgb="FF4D94D8"/>
      </left>
      <right/>
      <top/>
      <bottom/>
    </border>
    <border>
      <left style="thin">
        <color rgb="FFBF4F14"/>
      </left>
      <right/>
      <top/>
      <bottom/>
    </border>
    <border>
      <left/>
      <right style="thin">
        <color rgb="FFBF4F14"/>
      </right>
      <top/>
      <bottom/>
    </border>
    <border>
      <left style="thin">
        <color rgb="FF4D94D8"/>
      </left>
      <bottom style="thin">
        <color rgb="FF4D94D8"/>
      </bottom>
    </border>
    <border>
      <bottom style="thin">
        <color rgb="FF4D94D8"/>
      </bottom>
    </border>
    <border>
      <left style="thin">
        <color rgb="FFBF4F14"/>
      </left>
      <bottom style="thin">
        <color rgb="FFBF4F14"/>
      </bottom>
    </border>
    <border>
      <bottom style="thin">
        <color rgb="FFBF4F14"/>
      </bottom>
    </border>
    <border>
      <right style="thin">
        <color rgb="FFBF4F14"/>
      </right>
      <bottom style="thin">
        <color rgb="FFBF4F14"/>
      </bottom>
    </border>
    <border>
      <left style="thin">
        <color rgb="FF4D94D8"/>
      </left>
      <right/>
      <top/>
      <bottom style="thin">
        <color rgb="FF4D94D8"/>
      </bottom>
    </border>
    <border>
      <left/>
      <right/>
      <top/>
      <bottom style="thin">
        <color rgb="FF4D94D8"/>
      </bottom>
    </border>
    <border>
      <left style="thin">
        <color rgb="FFBF4F14"/>
      </left>
      <right/>
      <top/>
      <bottom style="thin">
        <color rgb="FFBF4F14"/>
      </bottom>
    </border>
    <border>
      <left/>
      <right/>
      <top/>
      <bottom style="thin">
        <color rgb="FFBF4F14"/>
      </bottom>
    </border>
    <border>
      <left/>
      <right style="thin">
        <color rgb="FFBF4F14"/>
      </right>
      <top/>
      <bottom style="thin">
        <color rgb="FFBF4F14"/>
      </bottom>
    </border>
    <border>
      <left/>
      <right style="thin">
        <color rgb="FF4D94D8"/>
      </right>
      <top style="thin">
        <color rgb="FF4D94D8"/>
      </top>
      <bottom/>
    </border>
    <border>
      <right style="thin">
        <color rgb="FF4D94D8"/>
      </right>
    </border>
    <border>
      <left/>
      <right style="thin">
        <color rgb="FF4D94D8"/>
      </right>
      <top/>
      <bottom style="thin">
        <color rgb="FF4D94D8"/>
      </bottom>
    </border>
    <border>
      <left style="thin">
        <color rgb="FFBF4F14"/>
      </left>
      <right style="thin">
        <color rgb="FFBF4F14"/>
      </right>
      <top style="thin">
        <color rgb="FFBF4F14"/>
      </top>
    </border>
    <border>
      <left style="thin">
        <color rgb="FFBF4F14"/>
      </left>
      <right style="thin">
        <color rgb="FFBF4F14"/>
      </right>
      <bottom/>
    </border>
    <border>
      <left/>
      <right style="thin">
        <color rgb="FF4D94D8"/>
      </right>
      <top/>
      <bottom/>
    </border>
    <border>
      <right style="thin">
        <color rgb="FF4D94D8"/>
      </right>
      <bottom style="thin">
        <color rgb="FF4D94D8"/>
      </bottom>
    </border>
    <border>
      <left style="thin">
        <color rgb="FF4D94D8"/>
      </left>
      <right/>
      <top style="thin">
        <color rgb="FF4D94D8"/>
      </top>
      <bottom style="thin">
        <color rgb="FF4D94D8"/>
      </bottom>
    </border>
    <border>
      <left/>
      <right style="thin">
        <color rgb="FF4D94D8"/>
      </right>
      <top style="thin">
        <color rgb="FF4D94D8"/>
      </top>
      <bottom style="thin">
        <color rgb="FF4D94D8"/>
      </bottom>
    </border>
    <border>
      <left style="thin">
        <color rgb="FF0070C0"/>
      </left>
      <right/>
      <top style="thin">
        <color rgb="FF0070C0"/>
      </top>
      <bottom/>
    </border>
    <border>
      <left/>
      <right style="thin">
        <color rgb="FF0070C0"/>
      </right>
      <top style="thin">
        <color rgb="FF0070C0"/>
      </top>
      <bottom/>
    </border>
    <border>
      <left style="thin">
        <color rgb="FF0070C0"/>
      </left>
    </border>
    <border>
      <right style="thin">
        <color rgb="FF0070C0"/>
      </right>
    </border>
    <border>
      <left style="thin">
        <color rgb="FF0070C0"/>
      </left>
      <right/>
      <top/>
      <bottom/>
    </border>
    <border>
      <left/>
      <right style="thin">
        <color rgb="FF0070C0"/>
      </right>
      <top/>
      <bottom/>
    </border>
    <border>
      <left style="thin">
        <color rgb="FF0070C0"/>
      </left>
      <right/>
      <top/>
      <bottom style="thin">
        <color rgb="FF0070C0"/>
      </bottom>
    </border>
    <border>
      <left/>
      <right style="thin">
        <color rgb="FF0070C0"/>
      </right>
      <top/>
      <bottom style="thin">
        <color rgb="FF007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2" fillId="4" fontId="2" numFmtId="0" xfId="0" applyBorder="1" applyFill="1" applyFont="1"/>
    <xf borderId="3" fillId="4" fontId="2" numFmtId="164" xfId="0" applyBorder="1" applyFont="1" applyNumberFormat="1"/>
    <xf borderId="4" fillId="5" fontId="2" numFmtId="164" xfId="0" applyBorder="1" applyFill="1" applyFont="1" applyNumberFormat="1"/>
    <xf borderId="5" fillId="5" fontId="2" numFmtId="164" xfId="0" applyBorder="1" applyFont="1" applyNumberFormat="1"/>
    <xf borderId="6" fillId="5" fontId="2" numFmtId="164" xfId="0" applyBorder="1" applyFont="1" applyNumberFormat="1"/>
    <xf borderId="7" fillId="0" fontId="2" numFmtId="0" xfId="0" applyBorder="1" applyFont="1"/>
    <xf borderId="0" fillId="0" fontId="2" numFmtId="164" xfId="0" applyFont="1" applyNumberFormat="1"/>
    <xf borderId="8" fillId="0" fontId="2" numFmtId="164" xfId="0" applyBorder="1" applyFont="1" applyNumberFormat="1"/>
    <xf borderId="9" fillId="0" fontId="2" numFmtId="164" xfId="0" applyBorder="1" applyFont="1" applyNumberFormat="1"/>
    <xf borderId="10" fillId="4" fontId="3" numFmtId="0" xfId="0" applyBorder="1" applyFont="1"/>
    <xf borderId="1" fillId="4" fontId="3" numFmtId="164" xfId="0" applyBorder="1" applyFont="1" applyNumberFormat="1"/>
    <xf borderId="11" fillId="5" fontId="3" numFmtId="164" xfId="0" applyBorder="1" applyFont="1" applyNumberFormat="1"/>
    <xf borderId="1" fillId="5" fontId="3" numFmtId="164" xfId="0" applyBorder="1" applyFont="1" applyNumberFormat="1"/>
    <xf borderId="12" fillId="5" fontId="3" numFmtId="164" xfId="0" applyBorder="1" applyFont="1" applyNumberFormat="1"/>
    <xf borderId="10" fillId="4" fontId="2" numFmtId="0" xfId="0" applyBorder="1" applyFont="1"/>
    <xf borderId="1" fillId="4" fontId="2" numFmtId="164" xfId="0" applyBorder="1" applyFont="1" applyNumberFormat="1"/>
    <xf borderId="11" fillId="5" fontId="2" numFmtId="164" xfId="0" applyBorder="1" applyFont="1" applyNumberFormat="1"/>
    <xf borderId="1" fillId="5" fontId="2" numFmtId="164" xfId="0" applyBorder="1" applyFont="1" applyNumberFormat="1"/>
    <xf borderId="12" fillId="5" fontId="2" numFmtId="164" xfId="0" applyBorder="1" applyFont="1" applyNumberFormat="1"/>
    <xf borderId="7" fillId="0" fontId="3" numFmtId="0" xfId="0" applyBorder="1" applyFont="1"/>
    <xf borderId="0" fillId="0" fontId="3" numFmtId="164" xfId="0" applyFont="1" applyNumberFormat="1"/>
    <xf borderId="8" fillId="0" fontId="3" numFmtId="164" xfId="0" applyBorder="1" applyFont="1" applyNumberFormat="1"/>
    <xf borderId="9" fillId="0" fontId="3" numFmtId="164" xfId="0" applyBorder="1" applyFont="1" applyNumberFormat="1"/>
    <xf borderId="13" fillId="0" fontId="3" numFmtId="0" xfId="0" applyBorder="1" applyFont="1"/>
    <xf borderId="14" fillId="0" fontId="3" numFmtId="164" xfId="0" applyBorder="1" applyFont="1" applyNumberFormat="1"/>
    <xf borderId="15" fillId="0" fontId="3" numFmtId="164" xfId="0" applyBorder="1" applyFont="1" applyNumberFormat="1"/>
    <xf borderId="16" fillId="0" fontId="3" numFmtId="164" xfId="0" applyBorder="1" applyFont="1" applyNumberFormat="1"/>
    <xf borderId="17" fillId="0" fontId="3" numFmtId="164" xfId="0" applyBorder="1" applyFont="1" applyNumberFormat="1"/>
    <xf borderId="18" fillId="4" fontId="3" numFmtId="0" xfId="0" applyBorder="1" applyFont="1"/>
    <xf borderId="19" fillId="4" fontId="3" numFmtId="164" xfId="0" applyBorder="1" applyFont="1" applyNumberFormat="1"/>
    <xf borderId="20" fillId="5" fontId="3" numFmtId="164" xfId="0" applyBorder="1" applyFont="1" applyNumberFormat="1"/>
    <xf borderId="21" fillId="5" fontId="3" numFmtId="164" xfId="0" applyBorder="1" applyFont="1" applyNumberFormat="1"/>
    <xf borderId="22" fillId="5" fontId="3" numFmtId="164" xfId="0" applyBorder="1" applyFont="1" applyNumberFormat="1"/>
    <xf borderId="23" fillId="4" fontId="2" numFmtId="164" xfId="0" applyBorder="1" applyFont="1" applyNumberFormat="1"/>
    <xf borderId="24" fillId="0" fontId="2" numFmtId="164" xfId="0" applyBorder="1" applyFont="1" applyNumberFormat="1"/>
    <xf borderId="18" fillId="4" fontId="2" numFmtId="0" xfId="0" applyBorder="1" applyFont="1"/>
    <xf borderId="19" fillId="4" fontId="2" numFmtId="164" xfId="0" applyBorder="1" applyFont="1" applyNumberFormat="1"/>
    <xf borderId="25" fillId="4" fontId="2" numFmtId="164" xfId="0" applyBorder="1" applyFont="1" applyNumberFormat="1"/>
    <xf borderId="21" fillId="5" fontId="2" numFmtId="164" xfId="0" applyBorder="1" applyFont="1" applyNumberFormat="1"/>
    <xf borderId="22" fillId="5" fontId="2" numFmtId="164" xfId="0" applyBorder="1" applyFont="1" applyNumberFormat="1"/>
    <xf borderId="26" fillId="3" fontId="1" numFmtId="0" xfId="0" applyAlignment="1" applyBorder="1" applyFont="1">
      <alignment horizontal="center" shrinkToFit="0" wrapText="1"/>
    </xf>
    <xf borderId="0" fillId="0" fontId="3" numFmtId="0" xfId="0" applyFont="1"/>
    <xf borderId="27" fillId="0" fontId="4" numFmtId="0" xfId="0" applyBorder="1" applyFont="1"/>
    <xf borderId="3" fillId="4" fontId="2" numFmtId="165" xfId="0" applyBorder="1" applyFont="1" applyNumberFormat="1"/>
    <xf borderId="23" fillId="4" fontId="2" numFmtId="165" xfId="0" applyBorder="1" applyFont="1" applyNumberFormat="1"/>
    <xf borderId="1" fillId="5" fontId="5" numFmtId="165" xfId="0" applyBorder="1" applyFont="1" applyNumberFormat="1"/>
    <xf borderId="12" fillId="5" fontId="5" numFmtId="165" xfId="0" applyBorder="1" applyFont="1" applyNumberFormat="1"/>
    <xf borderId="0" fillId="0" fontId="2" numFmtId="165" xfId="0" applyFont="1" applyNumberFormat="1"/>
    <xf borderId="24" fillId="0" fontId="2" numFmtId="165" xfId="0" applyBorder="1" applyFont="1" applyNumberFormat="1"/>
    <xf borderId="9" fillId="0" fontId="2" numFmtId="165" xfId="0" applyBorder="1" applyFont="1" applyNumberFormat="1"/>
    <xf borderId="1" fillId="4" fontId="2" numFmtId="165" xfId="0" applyBorder="1" applyFont="1" applyNumberFormat="1"/>
    <xf borderId="28" fillId="4" fontId="2" numFmtId="165" xfId="0" applyBorder="1" applyFont="1" applyNumberFormat="1"/>
    <xf borderId="1" fillId="5" fontId="2" numFmtId="165" xfId="0" applyBorder="1" applyFont="1" applyNumberFormat="1"/>
    <xf borderId="12" fillId="5" fontId="2" numFmtId="165" xfId="0" applyBorder="1" applyFont="1" applyNumberFormat="1"/>
    <xf borderId="0" fillId="0" fontId="2" numFmtId="10" xfId="0" applyFont="1" applyNumberFormat="1"/>
    <xf borderId="24" fillId="0" fontId="2" numFmtId="10" xfId="0" applyBorder="1" applyFont="1" applyNumberFormat="1"/>
    <xf borderId="9" fillId="0" fontId="2" numFmtId="10" xfId="0" applyBorder="1" applyFont="1" applyNumberFormat="1"/>
    <xf borderId="1" fillId="4" fontId="3" numFmtId="165" xfId="0" applyBorder="1" applyFont="1" applyNumberFormat="1"/>
    <xf borderId="28" fillId="4" fontId="3" numFmtId="165" xfId="0" applyBorder="1" applyFont="1" applyNumberFormat="1"/>
    <xf borderId="1" fillId="5" fontId="3" numFmtId="165" xfId="0" applyBorder="1" applyFont="1" applyNumberFormat="1"/>
    <xf borderId="12" fillId="5" fontId="3" numFmtId="165" xfId="0" applyBorder="1" applyFont="1" applyNumberFormat="1"/>
    <xf borderId="1" fillId="4" fontId="2" numFmtId="10" xfId="0" applyBorder="1" applyFont="1" applyNumberFormat="1"/>
    <xf borderId="28" fillId="4" fontId="2" numFmtId="10" xfId="0" applyBorder="1" applyFont="1" applyNumberFormat="1"/>
    <xf borderId="1" fillId="5" fontId="2" numFmtId="10" xfId="0" applyBorder="1" applyFont="1" applyNumberFormat="1"/>
    <xf borderId="12" fillId="5" fontId="2" numFmtId="10" xfId="0" applyBorder="1" applyFont="1" applyNumberFormat="1"/>
    <xf borderId="0" fillId="0" fontId="2" numFmtId="9" xfId="0" applyFont="1" applyNumberFormat="1"/>
    <xf borderId="9" fillId="0" fontId="2" numFmtId="9" xfId="0" applyBorder="1" applyFont="1" applyNumberFormat="1"/>
    <xf borderId="19" fillId="4" fontId="2" numFmtId="10" xfId="0" applyBorder="1" applyFont="1" applyNumberFormat="1"/>
    <xf borderId="25" fillId="4" fontId="2" numFmtId="10" xfId="0" applyBorder="1" applyFont="1" applyNumberFormat="1"/>
    <xf borderId="21" fillId="5" fontId="2" numFmtId="10" xfId="0" applyBorder="1" applyFont="1" applyNumberFormat="1"/>
    <xf borderId="22" fillId="5" fontId="2" numFmtId="10" xfId="0" applyBorder="1" applyFont="1" applyNumberFormat="1"/>
    <xf borderId="0" fillId="0" fontId="6" numFmtId="165" xfId="0" applyFont="1" applyNumberFormat="1"/>
    <xf borderId="1" fillId="2" fontId="7" numFmtId="0" xfId="0" applyBorder="1" applyFont="1"/>
    <xf borderId="28" fillId="4" fontId="2" numFmtId="164" xfId="0" applyBorder="1" applyFont="1" applyNumberFormat="1"/>
    <xf borderId="25" fillId="4" fontId="3" numFmtId="164" xfId="0" applyBorder="1" applyFont="1" applyNumberFormat="1"/>
    <xf borderId="0" fillId="0" fontId="2" numFmtId="0" xfId="0" applyFont="1"/>
    <xf borderId="23" fillId="4" fontId="2" numFmtId="10" xfId="0" applyBorder="1" applyFont="1" applyNumberFormat="1"/>
    <xf borderId="13" fillId="0" fontId="2" numFmtId="0" xfId="0" applyBorder="1" applyFont="1"/>
    <xf borderId="29" fillId="0" fontId="2" numFmtId="9" xfId="0" applyBorder="1" applyFont="1" applyNumberFormat="1"/>
    <xf borderId="23" fillId="4" fontId="2" numFmtId="0" xfId="0" applyBorder="1" applyFont="1"/>
    <xf borderId="1" fillId="2" fontId="7" numFmtId="10" xfId="0" applyBorder="1" applyFont="1" applyNumberFormat="1"/>
    <xf borderId="1" fillId="2" fontId="7" numFmtId="9" xfId="0" applyBorder="1" applyFont="1" applyNumberFormat="1"/>
    <xf borderId="14" fillId="0" fontId="2" numFmtId="166" xfId="0" applyBorder="1" applyFont="1" applyNumberFormat="1"/>
    <xf borderId="29" fillId="0" fontId="2" numFmtId="166" xfId="0" applyBorder="1" applyFont="1" applyNumberFormat="1"/>
    <xf borderId="30" fillId="4" fontId="2" numFmtId="0" xfId="0" applyBorder="1" applyFont="1"/>
    <xf borderId="31" fillId="4" fontId="2" numFmtId="164" xfId="0" applyBorder="1" applyFont="1" applyNumberFormat="1"/>
    <xf borderId="29" fillId="0" fontId="2" numFmtId="164" xfId="0" applyBorder="1" applyFont="1" applyNumberFormat="1"/>
    <xf borderId="30" fillId="2" fontId="7" numFmtId="0" xfId="0" applyBorder="1" applyFont="1"/>
    <xf borderId="31" fillId="2" fontId="1" numFmtId="167" xfId="0" applyBorder="1" applyFont="1" applyNumberFormat="1"/>
    <xf borderId="32" fillId="4" fontId="2" numFmtId="0" xfId="0" applyBorder="1" applyFont="1"/>
    <xf borderId="33" fillId="4" fontId="2" numFmtId="168" xfId="0" applyBorder="1" applyFont="1" applyNumberFormat="1"/>
    <xf borderId="34" fillId="0" fontId="2" numFmtId="0" xfId="0" applyBorder="1" applyFont="1"/>
    <xf borderId="35" fillId="0" fontId="8" numFmtId="10" xfId="0" applyBorder="1" applyFont="1" applyNumberFormat="1"/>
    <xf borderId="36" fillId="4" fontId="3" numFmtId="0" xfId="0" applyBorder="1" applyFont="1"/>
    <xf borderId="37" fillId="4" fontId="3" numFmtId="9" xfId="0" applyBorder="1" applyFont="1" applyNumberFormat="1"/>
    <xf borderId="34" fillId="0" fontId="3" numFmtId="0" xfId="0" applyBorder="1" applyFont="1"/>
    <xf borderId="35" fillId="0" fontId="3" numFmtId="167" xfId="0" applyBorder="1" applyFont="1" applyNumberFormat="1"/>
    <xf borderId="38" fillId="4" fontId="2" numFmtId="0" xfId="0" applyBorder="1" applyFont="1"/>
    <xf borderId="39" fillId="4" fontId="2" numFmtId="168" xfId="0" applyBorder="1" applyFont="1" applyNumberFormat="1"/>
    <xf borderId="40" fillId="0" fontId="2" numFmtId="0" xfId="0" applyBorder="1" applyFont="1"/>
    <xf borderId="40" fillId="0" fontId="2" numFmtId="169" xfId="0" applyAlignment="1" applyBorder="1" applyFont="1" applyNumberFormat="1">
      <alignment horizontal="right" shrinkToFit="0" wrapText="1"/>
    </xf>
    <xf borderId="40" fillId="0" fontId="2" numFmtId="10" xfId="0" applyBorder="1" applyFont="1" applyNumberFormat="1"/>
    <xf borderId="41" fillId="0" fontId="2" numFmtId="0" xfId="0" applyAlignment="1" applyBorder="1" applyFont="1">
      <alignment readingOrder="0"/>
    </xf>
    <xf borderId="42" fillId="0" fontId="2" numFmtId="0" xfId="0" applyBorder="1" applyFont="1"/>
    <xf borderId="43" fillId="0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58.25"/>
    <col customWidth="1" min="3" max="7" width="8.63"/>
    <col customWidth="1" min="8" max="9" width="10.63"/>
    <col customWidth="1" min="10" max="26" width="8.63"/>
  </cols>
  <sheetData>
    <row r="1" ht="14.25" customHeight="1"/>
    <row r="2" ht="14.25" customHeight="1">
      <c r="B2" s="1" t="s">
        <v>0</v>
      </c>
      <c r="C2" s="2">
        <v>2019.0</v>
      </c>
      <c r="D2" s="2">
        <v>2020.0</v>
      </c>
      <c r="E2" s="2">
        <v>2021.0</v>
      </c>
      <c r="F2" s="2">
        <v>2022.0</v>
      </c>
      <c r="G2" s="2">
        <v>2023.0</v>
      </c>
      <c r="H2" s="3">
        <v>2024.0</v>
      </c>
      <c r="I2" s="3">
        <v>2025.0</v>
      </c>
      <c r="J2" s="3">
        <v>2026.0</v>
      </c>
      <c r="K2" s="3">
        <v>2027.0</v>
      </c>
      <c r="L2" s="3">
        <v>2028.0</v>
      </c>
    </row>
    <row r="3" ht="14.25" customHeight="1">
      <c r="B3" s="4" t="s">
        <v>1</v>
      </c>
      <c r="C3" s="5">
        <v>104210.0</v>
      </c>
      <c r="D3" s="5">
        <v>98990.0</v>
      </c>
      <c r="E3" s="5">
        <v>111239.0</v>
      </c>
      <c r="F3" s="5">
        <v>142610.0</v>
      </c>
      <c r="G3" s="5">
        <v>155498.0</v>
      </c>
      <c r="H3" s="6">
        <f t="shared" ref="H3:L3" si="1">G3*(1+H43)</f>
        <v>171731.1706</v>
      </c>
      <c r="I3" s="7">
        <f t="shared" si="1"/>
        <v>186653.703</v>
      </c>
      <c r="J3" s="7">
        <f t="shared" si="1"/>
        <v>199606.485</v>
      </c>
      <c r="K3" s="7">
        <f t="shared" si="1"/>
        <v>209965.0082</v>
      </c>
      <c r="L3" s="8">
        <f t="shared" si="1"/>
        <v>217186.6964</v>
      </c>
    </row>
    <row r="4" ht="14.25" customHeight="1">
      <c r="B4" s="9" t="s">
        <v>2</v>
      </c>
      <c r="C4" s="10">
        <v>-86147.0</v>
      </c>
      <c r="D4" s="10">
        <v>-85408.0</v>
      </c>
      <c r="E4" s="10">
        <v>-89253.0</v>
      </c>
      <c r="F4" s="10">
        <v>-118042.0</v>
      </c>
      <c r="G4" s="10">
        <v>-125809.0</v>
      </c>
      <c r="H4" s="11"/>
      <c r="I4" s="10"/>
      <c r="J4" s="10"/>
      <c r="K4" s="10"/>
      <c r="L4" s="12"/>
    </row>
    <row r="5" ht="14.25" customHeight="1">
      <c r="B5" s="13" t="s">
        <v>3</v>
      </c>
      <c r="C5" s="14">
        <f t="shared" ref="C5:G5" si="2">C3+C4</f>
        <v>18063</v>
      </c>
      <c r="D5" s="14">
        <f t="shared" si="2"/>
        <v>13582</v>
      </c>
      <c r="E5" s="14">
        <f t="shared" si="2"/>
        <v>21986</v>
      </c>
      <c r="F5" s="14">
        <f t="shared" si="2"/>
        <v>24568</v>
      </c>
      <c r="G5" s="14">
        <f t="shared" si="2"/>
        <v>29689</v>
      </c>
      <c r="H5" s="15"/>
      <c r="I5" s="16"/>
      <c r="J5" s="16"/>
      <c r="K5" s="16"/>
      <c r="L5" s="17"/>
    </row>
    <row r="6" ht="14.25" customHeight="1">
      <c r="B6" s="9" t="s">
        <v>4</v>
      </c>
      <c r="C6" s="10">
        <v>-9367.0</v>
      </c>
      <c r="D6" s="10">
        <v>-8795.0</v>
      </c>
      <c r="E6" s="10">
        <v>-9233.0</v>
      </c>
      <c r="F6" s="10">
        <v>-10616.0</v>
      </c>
      <c r="G6" s="10">
        <v>-11025.0</v>
      </c>
      <c r="H6" s="11"/>
      <c r="I6" s="10"/>
      <c r="J6" s="10"/>
      <c r="K6" s="10"/>
      <c r="L6" s="12"/>
    </row>
    <row r="7" ht="14.25" customHeight="1">
      <c r="B7" s="18" t="s">
        <v>5</v>
      </c>
      <c r="C7" s="19">
        <v>-1285.0</v>
      </c>
      <c r="D7" s="19">
        <v>43.0</v>
      </c>
      <c r="E7" s="19">
        <v>647.0</v>
      </c>
      <c r="F7" s="19">
        <v>47.0</v>
      </c>
      <c r="G7" s="19">
        <v>-182.0</v>
      </c>
      <c r="H7" s="20"/>
      <c r="I7" s="21"/>
      <c r="J7" s="21"/>
      <c r="K7" s="21"/>
      <c r="L7" s="22"/>
    </row>
    <row r="8" ht="14.25" customHeight="1">
      <c r="B8" s="23" t="s">
        <v>6</v>
      </c>
      <c r="C8" s="24">
        <f t="shared" ref="C8:G8" si="3">C5+C6+C7</f>
        <v>7411</v>
      </c>
      <c r="D8" s="24">
        <f t="shared" si="3"/>
        <v>4830</v>
      </c>
      <c r="E8" s="24">
        <f t="shared" si="3"/>
        <v>13400</v>
      </c>
      <c r="F8" s="24">
        <f t="shared" si="3"/>
        <v>13999</v>
      </c>
      <c r="G8" s="24">
        <f t="shared" si="3"/>
        <v>18482</v>
      </c>
      <c r="H8" s="25"/>
      <c r="I8" s="24"/>
      <c r="J8" s="24"/>
      <c r="K8" s="24"/>
      <c r="L8" s="26"/>
    </row>
    <row r="9" ht="14.25" customHeight="1">
      <c r="B9" s="18" t="s">
        <v>7</v>
      </c>
      <c r="C9" s="19">
        <v>-293.0</v>
      </c>
      <c r="D9" s="19">
        <v>392.0</v>
      </c>
      <c r="E9" s="19">
        <v>2660.0</v>
      </c>
      <c r="F9" s="19">
        <v>9510.0</v>
      </c>
      <c r="G9" s="19">
        <v>-1386.0</v>
      </c>
      <c r="H9" s="20"/>
      <c r="I9" s="21"/>
      <c r="J9" s="21"/>
      <c r="K9" s="21"/>
      <c r="L9" s="22"/>
    </row>
    <row r="10" ht="14.25" customHeight="1">
      <c r="B10" s="23" t="s">
        <v>8</v>
      </c>
      <c r="C10" s="24">
        <f t="shared" ref="C10:G10" si="4">C8+C9</f>
        <v>7118</v>
      </c>
      <c r="D10" s="24">
        <f t="shared" si="4"/>
        <v>5222</v>
      </c>
      <c r="E10" s="24">
        <f t="shared" si="4"/>
        <v>16060</v>
      </c>
      <c r="F10" s="24">
        <f t="shared" si="4"/>
        <v>23509</v>
      </c>
      <c r="G10" s="24">
        <f t="shared" si="4"/>
        <v>17096</v>
      </c>
      <c r="H10" s="25"/>
      <c r="I10" s="24"/>
      <c r="J10" s="24"/>
      <c r="K10" s="24"/>
      <c r="L10" s="26"/>
    </row>
    <row r="11" ht="14.25" customHeight="1">
      <c r="B11" s="18" t="s">
        <v>9</v>
      </c>
      <c r="C11" s="19">
        <v>-2140.0</v>
      </c>
      <c r="D11" s="19">
        <v>-1365.0</v>
      </c>
      <c r="E11" s="19">
        <v>-3597.0</v>
      </c>
      <c r="F11" s="19">
        <v>-4927.0</v>
      </c>
      <c r="G11" s="19">
        <v>-4931.0</v>
      </c>
      <c r="H11" s="20"/>
      <c r="I11" s="21"/>
      <c r="J11" s="21"/>
      <c r="K11" s="21"/>
      <c r="L11" s="22"/>
    </row>
    <row r="12" ht="14.25" customHeight="1">
      <c r="B12" s="27" t="s">
        <v>10</v>
      </c>
      <c r="C12" s="28">
        <f t="shared" ref="C12:G12" si="5">C10+C11</f>
        <v>4978</v>
      </c>
      <c r="D12" s="28">
        <f t="shared" si="5"/>
        <v>3857</v>
      </c>
      <c r="E12" s="28">
        <f t="shared" si="5"/>
        <v>12463</v>
      </c>
      <c r="F12" s="28">
        <f t="shared" si="5"/>
        <v>18582</v>
      </c>
      <c r="G12" s="28">
        <f t="shared" si="5"/>
        <v>12165</v>
      </c>
      <c r="H12" s="29"/>
      <c r="I12" s="30"/>
      <c r="J12" s="30"/>
      <c r="K12" s="30"/>
      <c r="L12" s="31"/>
    </row>
    <row r="13" ht="14.25" customHeight="1"/>
    <row r="14" ht="14.25" customHeight="1">
      <c r="B14" s="1" t="s">
        <v>11</v>
      </c>
      <c r="C14" s="2">
        <v>2019.0</v>
      </c>
      <c r="D14" s="2">
        <v>2020.0</v>
      </c>
      <c r="E14" s="2">
        <v>2021.0</v>
      </c>
      <c r="F14" s="2">
        <v>2022.0</v>
      </c>
      <c r="G14" s="2">
        <v>2023.0</v>
      </c>
      <c r="H14" s="3">
        <v>2024.0</v>
      </c>
      <c r="I14" s="3">
        <v>2025.0</v>
      </c>
      <c r="J14" s="3">
        <v>2026.0</v>
      </c>
      <c r="K14" s="3">
        <v>2027.0</v>
      </c>
      <c r="L14" s="3">
        <v>2028.0</v>
      </c>
    </row>
    <row r="15" ht="14.25" customHeight="1">
      <c r="B15" s="18" t="s">
        <v>12</v>
      </c>
      <c r="C15" s="19">
        <v>11729.0</v>
      </c>
      <c r="D15" s="19">
        <v>12342.0</v>
      </c>
      <c r="E15" s="19">
        <v>12980.0</v>
      </c>
      <c r="F15" s="19">
        <v>21776.0</v>
      </c>
      <c r="G15" s="19">
        <v>20022.0</v>
      </c>
      <c r="H15" s="6"/>
      <c r="I15" s="7"/>
      <c r="J15" s="7"/>
      <c r="K15" s="7"/>
      <c r="L15" s="8"/>
    </row>
    <row r="16" ht="14.25" customHeight="1">
      <c r="B16" s="9" t="s">
        <v>13</v>
      </c>
      <c r="C16" s="10">
        <v>23245.0</v>
      </c>
      <c r="D16" s="10">
        <v>21850.0</v>
      </c>
      <c r="E16" s="10">
        <v>22390.0</v>
      </c>
      <c r="F16" s="10">
        <v>32126.0</v>
      </c>
      <c r="G16" s="10">
        <v>35266.0</v>
      </c>
      <c r="H16" s="11"/>
      <c r="I16" s="10"/>
      <c r="J16" s="10"/>
      <c r="K16" s="10"/>
      <c r="L16" s="12"/>
    </row>
    <row r="17" ht="14.25" customHeight="1">
      <c r="B17" s="18" t="s">
        <v>14</v>
      </c>
      <c r="C17" s="19">
        <v>42609.0</v>
      </c>
      <c r="D17" s="19">
        <v>41995.0</v>
      </c>
      <c r="E17" s="19">
        <v>44700.0</v>
      </c>
      <c r="F17" s="19">
        <v>42820.0</v>
      </c>
      <c r="G17" s="19">
        <v>43118.0</v>
      </c>
      <c r="H17" s="20"/>
      <c r="I17" s="21"/>
      <c r="J17" s="21"/>
      <c r="K17" s="21"/>
      <c r="L17" s="22"/>
    </row>
    <row r="18" ht="14.25" customHeight="1">
      <c r="B18" s="9" t="s">
        <v>15</v>
      </c>
      <c r="C18" s="10">
        <v>3199.0</v>
      </c>
      <c r="D18" s="10">
        <v>3585.0</v>
      </c>
      <c r="E18" s="10">
        <v>5112.0</v>
      </c>
      <c r="F18" s="10">
        <v>420.0</v>
      </c>
      <c r="G18" s="10">
        <v>443.0</v>
      </c>
      <c r="H18" s="11"/>
      <c r="I18" s="10"/>
      <c r="J18" s="10"/>
      <c r="K18" s="10"/>
      <c r="L18" s="12"/>
    </row>
    <row r="19" ht="14.25" customHeight="1">
      <c r="B19" s="18" t="s">
        <v>16</v>
      </c>
      <c r="C19" s="19">
        <v>703.0</v>
      </c>
      <c r="D19" s="19">
        <v>735.0</v>
      </c>
      <c r="E19" s="19">
        <v>1241.0</v>
      </c>
      <c r="F19" s="19">
        <v>1351.0</v>
      </c>
      <c r="G19" s="19">
        <v>1197.0</v>
      </c>
      <c r="H19" s="20"/>
      <c r="I19" s="21"/>
      <c r="J19" s="21"/>
      <c r="K19" s="21"/>
      <c r="L19" s="22"/>
    </row>
    <row r="20" ht="14.25" customHeight="1">
      <c r="B20" s="9" t="s">
        <v>17</v>
      </c>
      <c r="C20" s="10">
        <v>92437.0</v>
      </c>
      <c r="D20" s="10">
        <v>84277.0</v>
      </c>
      <c r="E20" s="10">
        <v>87417.0</v>
      </c>
      <c r="F20" s="10">
        <v>85708.0</v>
      </c>
      <c r="G20" s="10">
        <v>87355.0</v>
      </c>
      <c r="H20" s="11"/>
      <c r="I20" s="10"/>
      <c r="J20" s="10"/>
      <c r="K20" s="10"/>
      <c r="L20" s="12"/>
    </row>
    <row r="21" ht="14.25" customHeight="1">
      <c r="B21" s="18" t="s">
        <v>18</v>
      </c>
      <c r="C21" s="19">
        <v>7325.0</v>
      </c>
      <c r="D21" s="19">
        <v>7752.0</v>
      </c>
      <c r="E21" s="19">
        <v>7515.0</v>
      </c>
      <c r="F21" s="19">
        <v>8237.0</v>
      </c>
      <c r="G21" s="19">
        <v>5518.0</v>
      </c>
      <c r="H21" s="20"/>
      <c r="I21" s="21"/>
      <c r="J21" s="21"/>
      <c r="K21" s="21"/>
      <c r="L21" s="22"/>
    </row>
    <row r="22" ht="14.25" customHeight="1">
      <c r="B22" s="9" t="s">
        <v>19</v>
      </c>
      <c r="C22" s="10">
        <v>3403.0</v>
      </c>
      <c r="D22" s="10">
        <v>3065.0</v>
      </c>
      <c r="E22" s="10">
        <v>3731.0</v>
      </c>
      <c r="F22" s="10">
        <v>2854.0</v>
      </c>
      <c r="G22" s="10">
        <v>3630.0</v>
      </c>
      <c r="H22" s="11"/>
      <c r="I22" s="10"/>
      <c r="J22" s="10"/>
      <c r="K22" s="10"/>
      <c r="L22" s="12"/>
    </row>
    <row r="23" ht="14.25" customHeight="1">
      <c r="B23" s="18" t="s">
        <v>20</v>
      </c>
      <c r="C23" s="19">
        <v>12939.0</v>
      </c>
      <c r="D23" s="19">
        <v>10326.0</v>
      </c>
      <c r="E23" s="19">
        <v>10243.0</v>
      </c>
      <c r="F23" s="19">
        <v>10632.0</v>
      </c>
      <c r="G23" s="19">
        <v>9133.0</v>
      </c>
      <c r="H23" s="20"/>
      <c r="I23" s="21"/>
      <c r="J23" s="21"/>
      <c r="K23" s="21"/>
      <c r="L23" s="22"/>
    </row>
    <row r="24" ht="14.25" customHeight="1">
      <c r="B24" s="9" t="s">
        <v>21</v>
      </c>
      <c r="C24" s="10">
        <v>15891.0</v>
      </c>
      <c r="D24" s="10">
        <v>14896.0</v>
      </c>
      <c r="E24" s="10">
        <v>15928.0</v>
      </c>
      <c r="F24" s="10">
        <v>20005.0</v>
      </c>
      <c r="G24" s="10">
        <v>23719.0</v>
      </c>
      <c r="H24" s="11"/>
      <c r="I24" s="10"/>
      <c r="J24" s="10"/>
      <c r="K24" s="10"/>
      <c r="L24" s="12"/>
    </row>
    <row r="25" ht="14.25" customHeight="1">
      <c r="B25" s="18" t="s">
        <v>22</v>
      </c>
      <c r="C25" s="19">
        <v>2518.0</v>
      </c>
      <c r="D25" s="19">
        <v>2298.0</v>
      </c>
      <c r="E25" s="19">
        <v>2261.0</v>
      </c>
      <c r="F25" s="19">
        <v>4127.0</v>
      </c>
      <c r="G25" s="19">
        <v>4162.0</v>
      </c>
      <c r="H25" s="20"/>
      <c r="I25" s="21"/>
      <c r="J25" s="21"/>
      <c r="K25" s="21"/>
      <c r="L25" s="22"/>
    </row>
    <row r="26" ht="14.25" customHeight="1">
      <c r="B26" s="9" t="s">
        <v>23</v>
      </c>
      <c r="C26" s="10">
        <v>12036.0</v>
      </c>
      <c r="D26" s="10">
        <v>13537.0</v>
      </c>
      <c r="E26" s="10">
        <v>16009.0</v>
      </c>
      <c r="F26" s="10">
        <v>16870.0</v>
      </c>
      <c r="G26" s="10">
        <v>17327.0</v>
      </c>
      <c r="H26" s="11"/>
      <c r="I26" s="10"/>
      <c r="J26" s="10"/>
      <c r="K26" s="10"/>
      <c r="L26" s="12"/>
    </row>
    <row r="27" ht="14.25" customHeight="1">
      <c r="B27" s="32" t="s">
        <v>24</v>
      </c>
      <c r="C27" s="33">
        <f t="shared" ref="C27:G27" si="6">SUM(C15:C26)</f>
        <v>228034</v>
      </c>
      <c r="D27" s="33">
        <f t="shared" si="6"/>
        <v>216658</v>
      </c>
      <c r="E27" s="33">
        <f t="shared" si="6"/>
        <v>229527</v>
      </c>
      <c r="F27" s="33">
        <f t="shared" si="6"/>
        <v>246926</v>
      </c>
      <c r="G27" s="33">
        <f t="shared" si="6"/>
        <v>250890</v>
      </c>
      <c r="H27" s="34"/>
      <c r="I27" s="35"/>
      <c r="J27" s="35"/>
      <c r="K27" s="35"/>
      <c r="L27" s="36"/>
    </row>
    <row r="28" ht="14.25" customHeight="1">
      <c r="B28" s="9" t="s">
        <v>25</v>
      </c>
      <c r="C28" s="10">
        <v>59907.0</v>
      </c>
      <c r="D28" s="10">
        <v>61520.0</v>
      </c>
      <c r="E28" s="10">
        <v>75132.0</v>
      </c>
      <c r="F28" s="10">
        <v>91288.0</v>
      </c>
      <c r="G28" s="10">
        <v>92923.0</v>
      </c>
      <c r="H28" s="11"/>
      <c r="I28" s="10"/>
      <c r="J28" s="10"/>
      <c r="K28" s="10"/>
      <c r="L28" s="12"/>
    </row>
    <row r="29" ht="14.25" customHeight="1">
      <c r="B29" s="18" t="s">
        <v>26</v>
      </c>
      <c r="C29" s="19">
        <v>3335.0</v>
      </c>
      <c r="D29" s="19">
        <v>3693.0</v>
      </c>
      <c r="E29" s="19">
        <v>1247.0</v>
      </c>
      <c r="F29" s="19">
        <v>339.0</v>
      </c>
      <c r="G29" s="19">
        <v>427.0</v>
      </c>
      <c r="H29" s="20"/>
      <c r="I29" s="21"/>
      <c r="J29" s="21"/>
      <c r="K29" s="21"/>
      <c r="L29" s="22"/>
    </row>
    <row r="30" ht="14.25" customHeight="1">
      <c r="B30" s="9" t="s">
        <v>27</v>
      </c>
      <c r="C30" s="10">
        <v>13209.0</v>
      </c>
      <c r="D30" s="10">
        <v>13982.0</v>
      </c>
      <c r="E30" s="10">
        <v>13954.0</v>
      </c>
      <c r="F30" s="10">
        <v>15761.0</v>
      </c>
      <c r="G30" s="10">
        <v>17037.0</v>
      </c>
      <c r="H30" s="11"/>
      <c r="I30" s="10"/>
      <c r="J30" s="10"/>
      <c r="K30" s="10"/>
      <c r="L30" s="12"/>
    </row>
    <row r="31" ht="14.25" customHeight="1">
      <c r="B31" s="18" t="s">
        <v>19</v>
      </c>
      <c r="C31" s="19">
        <v>1595.0</v>
      </c>
      <c r="D31" s="19">
        <v>1256.0</v>
      </c>
      <c r="E31" s="19">
        <v>2379.0</v>
      </c>
      <c r="F31" s="19">
        <v>3989.0</v>
      </c>
      <c r="G31" s="19">
        <v>4198.0</v>
      </c>
      <c r="H31" s="20"/>
      <c r="I31" s="21"/>
      <c r="J31" s="21"/>
      <c r="K31" s="21"/>
      <c r="L31" s="22"/>
    </row>
    <row r="32" ht="14.25" customHeight="1">
      <c r="B32" s="9" t="s">
        <v>28</v>
      </c>
      <c r="C32" s="10">
        <v>116740.0</v>
      </c>
      <c r="D32" s="10">
        <v>106376.0</v>
      </c>
      <c r="E32" s="10">
        <v>103463.0</v>
      </c>
      <c r="F32" s="10">
        <v>94196.0</v>
      </c>
      <c r="G32" s="10">
        <v>95010.0</v>
      </c>
      <c r="H32" s="11"/>
      <c r="I32" s="10"/>
      <c r="J32" s="10"/>
      <c r="K32" s="10"/>
      <c r="L32" s="12"/>
    </row>
    <row r="33" ht="14.25" customHeight="1">
      <c r="B33" s="18" t="s">
        <v>29</v>
      </c>
      <c r="C33" s="19">
        <v>10182.0</v>
      </c>
      <c r="D33" s="19">
        <v>8644.0</v>
      </c>
      <c r="E33" s="19">
        <v>10932.0</v>
      </c>
      <c r="F33" s="19">
        <v>14120.0</v>
      </c>
      <c r="G33" s="19">
        <v>15547.0</v>
      </c>
      <c r="H33" s="20"/>
      <c r="I33" s="21"/>
      <c r="J33" s="21"/>
      <c r="K33" s="21"/>
      <c r="L33" s="22"/>
    </row>
    <row r="34" ht="14.25" customHeight="1">
      <c r="B34" s="9" t="s">
        <v>30</v>
      </c>
      <c r="C34" s="10">
        <v>23066.0</v>
      </c>
      <c r="D34" s="10">
        <v>21187.0</v>
      </c>
      <c r="E34" s="10">
        <v>22420.0</v>
      </c>
      <c r="F34" s="10">
        <v>27233.0</v>
      </c>
      <c r="G34" s="10">
        <v>25748.0</v>
      </c>
      <c r="H34" s="11"/>
      <c r="I34" s="10"/>
      <c r="J34" s="10"/>
      <c r="K34" s="10"/>
      <c r="L34" s="12"/>
    </row>
    <row r="35" ht="14.25" customHeight="1">
      <c r="B35" s="32" t="s">
        <v>31</v>
      </c>
      <c r="C35" s="33">
        <f t="shared" ref="C35:G35" si="7">SUM(C28:C34)</f>
        <v>228034</v>
      </c>
      <c r="D35" s="33">
        <f t="shared" si="7"/>
        <v>216658</v>
      </c>
      <c r="E35" s="33">
        <f t="shared" si="7"/>
        <v>229527</v>
      </c>
      <c r="F35" s="33">
        <f t="shared" si="7"/>
        <v>246926</v>
      </c>
      <c r="G35" s="33">
        <f t="shared" si="7"/>
        <v>250890</v>
      </c>
      <c r="H35" s="34"/>
      <c r="I35" s="35"/>
      <c r="J35" s="35"/>
      <c r="K35" s="35"/>
      <c r="L35" s="36"/>
    </row>
    <row r="36" ht="14.25" customHeight="1"/>
    <row r="37" ht="14.25" customHeight="1">
      <c r="B37" s="4" t="s">
        <v>32</v>
      </c>
      <c r="C37" s="5">
        <v>-6902.0</v>
      </c>
      <c r="D37" s="5">
        <v>-6150.0</v>
      </c>
      <c r="E37" s="5">
        <v>-6619.0</v>
      </c>
      <c r="F37" s="5">
        <v>-9050.0</v>
      </c>
      <c r="G37" s="37">
        <v>-10881.0</v>
      </c>
      <c r="H37" s="7">
        <f t="shared" ref="H37:L37" si="8">-H3*H49</f>
        <v>-11035.32858</v>
      </c>
      <c r="I37" s="7">
        <f t="shared" si="8"/>
        <v>-11994.2404</v>
      </c>
      <c r="J37" s="7">
        <f t="shared" si="8"/>
        <v>-12826.57739</v>
      </c>
      <c r="K37" s="7">
        <f t="shared" si="8"/>
        <v>-13492.20906</v>
      </c>
      <c r="L37" s="8">
        <f t="shared" si="8"/>
        <v>-13956.26985</v>
      </c>
    </row>
    <row r="38" ht="14.25" customHeight="1">
      <c r="B38" s="9" t="s">
        <v>33</v>
      </c>
      <c r="C38" s="10">
        <v>6017.0</v>
      </c>
      <c r="D38" s="10">
        <v>6139.0</v>
      </c>
      <c r="E38" s="10">
        <v>6495.0</v>
      </c>
      <c r="F38" s="10">
        <v>8566.0</v>
      </c>
      <c r="G38" s="38">
        <v>8974.0</v>
      </c>
      <c r="H38" s="11">
        <f t="shared" ref="H38:L38" si="9">-H50*G48</f>
        <v>8901.368</v>
      </c>
      <c r="I38" s="10">
        <f t="shared" si="9"/>
        <v>9187.513693</v>
      </c>
      <c r="J38" s="10">
        <f t="shared" si="9"/>
        <v>9636.589966</v>
      </c>
      <c r="K38" s="10">
        <f t="shared" si="9"/>
        <v>10083.56928</v>
      </c>
      <c r="L38" s="12">
        <f t="shared" si="9"/>
        <v>10558.71569</v>
      </c>
    </row>
    <row r="39" ht="14.25" customHeight="1">
      <c r="B39" s="39" t="s">
        <v>34</v>
      </c>
      <c r="C39" s="40">
        <v>-1117.0</v>
      </c>
      <c r="D39" s="40">
        <v>-996.0</v>
      </c>
      <c r="E39" s="40">
        <v>1355.0</v>
      </c>
      <c r="F39" s="40">
        <v>-523.0</v>
      </c>
      <c r="G39" s="41">
        <v>-2715.0</v>
      </c>
      <c r="H39" s="42">
        <f t="shared" ref="H39:L39" si="10">H51*H3</f>
        <v>-1021.002253</v>
      </c>
      <c r="I39" s="42">
        <f t="shared" si="10"/>
        <v>-1109.721961</v>
      </c>
      <c r="J39" s="42">
        <f t="shared" si="10"/>
        <v>-1186.730809</v>
      </c>
      <c r="K39" s="42">
        <f t="shared" si="10"/>
        <v>-1248.315875</v>
      </c>
      <c r="L39" s="43">
        <f t="shared" si="10"/>
        <v>-1291.251353</v>
      </c>
    </row>
    <row r="40" ht="14.25" customHeight="1"/>
    <row r="41" ht="14.25" customHeight="1">
      <c r="H41" s="44" t="s">
        <v>35</v>
      </c>
    </row>
    <row r="42" ht="14.25" customHeight="1">
      <c r="B42" s="45" t="s">
        <v>36</v>
      </c>
      <c r="H42" s="46"/>
      <c r="I42" s="3">
        <v>2025.0</v>
      </c>
      <c r="J42" s="3">
        <v>2026.0</v>
      </c>
      <c r="K42" s="3">
        <v>2027.0</v>
      </c>
      <c r="L42" s="3">
        <v>2028.0</v>
      </c>
    </row>
    <row r="43" ht="14.25" customHeight="1">
      <c r="B43" s="4" t="s">
        <v>37</v>
      </c>
      <c r="C43" s="47">
        <f>(C3-96855)/96855</f>
        <v>0.07593825822</v>
      </c>
      <c r="D43" s="47">
        <f t="shared" ref="D43:G43" si="11">(D3-C3)/C3</f>
        <v>-0.05009116208</v>
      </c>
      <c r="E43" s="47">
        <f t="shared" si="11"/>
        <v>0.1237397717</v>
      </c>
      <c r="F43" s="47">
        <f t="shared" si="11"/>
        <v>0.2820144014</v>
      </c>
      <c r="G43" s="48">
        <f t="shared" si="11"/>
        <v>0.09037234416</v>
      </c>
      <c r="H43" s="49">
        <f>AVERAGE(C43:G43)</f>
        <v>0.1043947227</v>
      </c>
      <c r="I43" s="49">
        <f>$H$43-1.75%</f>
        <v>0.08689472268</v>
      </c>
      <c r="J43" s="49">
        <f>I43-1.75%</f>
        <v>0.06939472268</v>
      </c>
      <c r="K43" s="49">
        <f>$J$43-1.75%</f>
        <v>0.05189472268</v>
      </c>
      <c r="L43" s="50">
        <f>$K$43-1.75%</f>
        <v>0.03439472268</v>
      </c>
    </row>
    <row r="44" ht="14.25" customHeight="1">
      <c r="B44" s="9" t="s">
        <v>38</v>
      </c>
      <c r="C44" s="51">
        <f t="shared" ref="C44:G44" si="12">C4/C3</f>
        <v>-0.8266673064</v>
      </c>
      <c r="D44" s="51">
        <f t="shared" si="12"/>
        <v>-0.8627942216</v>
      </c>
      <c r="E44" s="51">
        <f t="shared" si="12"/>
        <v>-0.8023534911</v>
      </c>
      <c r="F44" s="51">
        <f t="shared" si="12"/>
        <v>-0.8277259659</v>
      </c>
      <c r="G44" s="52">
        <f t="shared" si="12"/>
        <v>-0.8090714993</v>
      </c>
      <c r="H44" s="51">
        <f>AVERAGE(C44,E44,F44,G44)</f>
        <v>-0.8164545657</v>
      </c>
      <c r="I44" s="51">
        <f t="shared" ref="I44:L44" si="13">$H$44</f>
        <v>-0.8164545657</v>
      </c>
      <c r="J44" s="51">
        <f t="shared" si="13"/>
        <v>-0.8164545657</v>
      </c>
      <c r="K44" s="51">
        <f t="shared" si="13"/>
        <v>-0.8164545657</v>
      </c>
      <c r="L44" s="53">
        <f t="shared" si="13"/>
        <v>-0.8164545657</v>
      </c>
    </row>
    <row r="45" ht="14.25" customHeight="1">
      <c r="B45" s="18" t="s">
        <v>39</v>
      </c>
      <c r="C45" s="54">
        <f t="shared" ref="C45:G45" si="14">C6/C$3</f>
        <v>-0.0898858075</v>
      </c>
      <c r="D45" s="54">
        <f t="shared" si="14"/>
        <v>-0.08884735832</v>
      </c>
      <c r="E45" s="54">
        <f t="shared" si="14"/>
        <v>-0.08300146531</v>
      </c>
      <c r="F45" s="54">
        <f t="shared" si="14"/>
        <v>-0.07444078255</v>
      </c>
      <c r="G45" s="55">
        <f t="shared" si="14"/>
        <v>-0.07090123346</v>
      </c>
      <c r="H45" s="56">
        <v>-0.07</v>
      </c>
      <c r="I45" s="56">
        <v>-0.07</v>
      </c>
      <c r="J45" s="56">
        <v>-0.069</v>
      </c>
      <c r="K45" s="56">
        <v>-0.069</v>
      </c>
      <c r="L45" s="57">
        <v>-0.068</v>
      </c>
    </row>
    <row r="46" ht="14.25" customHeight="1">
      <c r="B46" s="9" t="s">
        <v>40</v>
      </c>
      <c r="C46" s="58">
        <f t="shared" ref="C46:G46" si="15">C7/C$3</f>
        <v>-0.01233087036</v>
      </c>
      <c r="D46" s="58">
        <f t="shared" si="15"/>
        <v>0.0004343873118</v>
      </c>
      <c r="E46" s="58">
        <f t="shared" si="15"/>
        <v>0.005816305432</v>
      </c>
      <c r="F46" s="58">
        <f t="shared" si="15"/>
        <v>0.0003295701564</v>
      </c>
      <c r="G46" s="59">
        <f t="shared" si="15"/>
        <v>-0.00117043306</v>
      </c>
      <c r="H46" s="58">
        <f>AVERAGE(C46:G46)</f>
        <v>-0.001384208103</v>
      </c>
      <c r="I46" s="58">
        <f t="shared" ref="I46:L46" si="16">$H$46</f>
        <v>-0.001384208103</v>
      </c>
      <c r="J46" s="58">
        <f t="shared" si="16"/>
        <v>-0.001384208103</v>
      </c>
      <c r="K46" s="58">
        <f t="shared" si="16"/>
        <v>-0.001384208103</v>
      </c>
      <c r="L46" s="60">
        <f t="shared" si="16"/>
        <v>-0.001384208103</v>
      </c>
    </row>
    <row r="47" ht="14.25" customHeight="1">
      <c r="B47" s="13" t="s">
        <v>41</v>
      </c>
      <c r="C47" s="61">
        <f t="shared" ref="C47:G47" si="17">C8/C3</f>
        <v>0.07111601574</v>
      </c>
      <c r="D47" s="61">
        <f t="shared" si="17"/>
        <v>0.04879280735</v>
      </c>
      <c r="E47" s="61">
        <f t="shared" si="17"/>
        <v>0.120461349</v>
      </c>
      <c r="F47" s="61">
        <f t="shared" si="17"/>
        <v>0.09816282168</v>
      </c>
      <c r="G47" s="62">
        <f t="shared" si="17"/>
        <v>0.1188568342</v>
      </c>
      <c r="H47" s="63">
        <f t="shared" ref="H47:L47" si="18">1+H44+H45+H46</f>
        <v>0.1121612262</v>
      </c>
      <c r="I47" s="63">
        <f t="shared" si="18"/>
        <v>0.1121612262</v>
      </c>
      <c r="J47" s="63">
        <f t="shared" si="18"/>
        <v>0.1131612262</v>
      </c>
      <c r="K47" s="63">
        <f t="shared" si="18"/>
        <v>0.1131612262</v>
      </c>
      <c r="L47" s="64">
        <f t="shared" si="18"/>
        <v>0.1141612262</v>
      </c>
    </row>
    <row r="48" ht="14.25" customHeight="1">
      <c r="B48" s="9" t="s">
        <v>42</v>
      </c>
      <c r="C48" s="10">
        <f t="shared" ref="C48:G48" si="19">C15+C16</f>
        <v>34974</v>
      </c>
      <c r="D48" s="10">
        <f t="shared" si="19"/>
        <v>34192</v>
      </c>
      <c r="E48" s="10">
        <f t="shared" si="19"/>
        <v>35370</v>
      </c>
      <c r="F48" s="10">
        <f t="shared" si="19"/>
        <v>53902</v>
      </c>
      <c r="G48" s="38">
        <f t="shared" si="19"/>
        <v>55288</v>
      </c>
      <c r="H48" s="10">
        <f t="shared" ref="H48:L48" si="20">G48-H37-H38</f>
        <v>57421.96058</v>
      </c>
      <c r="I48" s="10">
        <f t="shared" si="20"/>
        <v>60228.68729</v>
      </c>
      <c r="J48" s="10">
        <f t="shared" si="20"/>
        <v>63418.67471</v>
      </c>
      <c r="K48" s="10">
        <f t="shared" si="20"/>
        <v>66827.31449</v>
      </c>
      <c r="L48" s="12">
        <f t="shared" si="20"/>
        <v>70224.86865</v>
      </c>
    </row>
    <row r="49" ht="14.25" customHeight="1">
      <c r="B49" s="18" t="s">
        <v>43</v>
      </c>
      <c r="C49" s="54">
        <f t="shared" ref="C49:G49" si="21">-C37/C3</f>
        <v>0.06623164763</v>
      </c>
      <c r="D49" s="54">
        <f t="shared" si="21"/>
        <v>0.06212748763</v>
      </c>
      <c r="E49" s="54">
        <f t="shared" si="21"/>
        <v>0.05950251261</v>
      </c>
      <c r="F49" s="54">
        <f t="shared" si="21"/>
        <v>0.06345978543</v>
      </c>
      <c r="G49" s="55">
        <f t="shared" si="21"/>
        <v>0.06997517653</v>
      </c>
      <c r="H49" s="56">
        <f>AVERAGE(C49:G49)</f>
        <v>0.06425932197</v>
      </c>
      <c r="I49" s="56">
        <f t="shared" ref="I49:L49" si="22">$H$49</f>
        <v>0.06425932197</v>
      </c>
      <c r="J49" s="56">
        <f t="shared" si="22"/>
        <v>0.06425932197</v>
      </c>
      <c r="K49" s="56">
        <f t="shared" si="22"/>
        <v>0.06425932197</v>
      </c>
      <c r="L49" s="57">
        <f t="shared" si="22"/>
        <v>0.06425932197</v>
      </c>
    </row>
    <row r="50" ht="14.25" customHeight="1">
      <c r="B50" s="9" t="s">
        <v>44</v>
      </c>
      <c r="C50" s="51">
        <f>-C38/(10971+19801)</f>
        <v>-0.1955349019</v>
      </c>
      <c r="D50" s="51">
        <f t="shared" ref="D50:G50" si="23">-D38/(D15+D16)</f>
        <v>-0.1795449228</v>
      </c>
      <c r="E50" s="51">
        <f t="shared" si="23"/>
        <v>-0.1836301951</v>
      </c>
      <c r="F50" s="51">
        <f t="shared" si="23"/>
        <v>-0.1589180364</v>
      </c>
      <c r="G50" s="52">
        <f t="shared" si="23"/>
        <v>-0.1623137028</v>
      </c>
      <c r="H50" s="58">
        <v>-0.161</v>
      </c>
      <c r="I50" s="58">
        <v>-0.16</v>
      </c>
      <c r="J50" s="58">
        <v>-0.16</v>
      </c>
      <c r="K50" s="58">
        <v>-0.159</v>
      </c>
      <c r="L50" s="60">
        <v>-0.158</v>
      </c>
    </row>
    <row r="51" ht="14.25" customHeight="1">
      <c r="B51" s="18" t="s">
        <v>45</v>
      </c>
      <c r="C51" s="65">
        <f t="shared" ref="C51:G51" si="24">C39/C3</f>
        <v>-0.010718741</v>
      </c>
      <c r="D51" s="65">
        <f t="shared" si="24"/>
        <v>-0.01006162239</v>
      </c>
      <c r="E51" s="65">
        <f t="shared" si="24"/>
        <v>0.01218097969</v>
      </c>
      <c r="F51" s="65">
        <f t="shared" si="24"/>
        <v>-0.003667344506</v>
      </c>
      <c r="G51" s="66">
        <f t="shared" si="24"/>
        <v>-0.01746003164</v>
      </c>
      <c r="H51" s="67">
        <f>AVERAGE(C51:G51)</f>
        <v>-0.005945351969</v>
      </c>
      <c r="I51" s="67">
        <f t="shared" ref="I51:L51" si="25">$H$51</f>
        <v>-0.005945351969</v>
      </c>
      <c r="J51" s="67">
        <f t="shared" si="25"/>
        <v>-0.005945351969</v>
      </c>
      <c r="K51" s="67">
        <f t="shared" si="25"/>
        <v>-0.005945351969</v>
      </c>
      <c r="L51" s="68">
        <f t="shared" si="25"/>
        <v>-0.005945351969</v>
      </c>
    </row>
    <row r="52" ht="14.25" customHeight="1">
      <c r="B52" s="9" t="s">
        <v>46</v>
      </c>
      <c r="C52" s="51"/>
      <c r="D52" s="51"/>
      <c r="E52" s="51"/>
      <c r="F52" s="51"/>
      <c r="G52" s="52"/>
      <c r="H52" s="69">
        <v>0.3</v>
      </c>
      <c r="I52" s="69">
        <v>0.3</v>
      </c>
      <c r="J52" s="69">
        <v>0.3</v>
      </c>
      <c r="K52" s="69">
        <v>0.3</v>
      </c>
      <c r="L52" s="70">
        <v>0.3</v>
      </c>
    </row>
    <row r="53" ht="14.25" customHeight="1">
      <c r="B53" s="39" t="s">
        <v>47</v>
      </c>
      <c r="C53" s="71">
        <f t="shared" ref="C53:G53" si="26">C12/C3</f>
        <v>0.04776892813</v>
      </c>
      <c r="D53" s="71">
        <f t="shared" si="26"/>
        <v>0.03896353167</v>
      </c>
      <c r="E53" s="71">
        <f t="shared" si="26"/>
        <v>0.1120380442</v>
      </c>
      <c r="F53" s="71">
        <f t="shared" si="26"/>
        <v>0.130299418</v>
      </c>
      <c r="G53" s="72">
        <f t="shared" si="26"/>
        <v>0.07823251746</v>
      </c>
      <c r="H53" s="73">
        <f t="shared" ref="H53:L53" si="27">AVERAGE(C53:G53)</f>
        <v>0.08146048789</v>
      </c>
      <c r="I53" s="73">
        <f t="shared" si="27"/>
        <v>0.08819879985</v>
      </c>
      <c r="J53" s="73">
        <f t="shared" si="27"/>
        <v>0.09804585348</v>
      </c>
      <c r="K53" s="73">
        <f t="shared" si="27"/>
        <v>0.09524741533</v>
      </c>
      <c r="L53" s="74">
        <f t="shared" si="27"/>
        <v>0.0882370148</v>
      </c>
    </row>
    <row r="54" ht="14.25" customHeight="1">
      <c r="H54" s="75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H41:H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21.25"/>
    <col customWidth="1" min="3" max="26" width="8.63"/>
  </cols>
  <sheetData>
    <row r="1" ht="14.25" customHeight="1"/>
    <row r="2" ht="14.25" customHeight="1">
      <c r="B2" s="76" t="s">
        <v>48</v>
      </c>
      <c r="C2" s="2">
        <v>2024.0</v>
      </c>
      <c r="D2" s="2">
        <v>2025.0</v>
      </c>
      <c r="E2" s="2">
        <v>2026.0</v>
      </c>
      <c r="F2" s="2">
        <v>2027.0</v>
      </c>
      <c r="G2" s="2">
        <v>2028.0</v>
      </c>
    </row>
    <row r="3" ht="14.25" customHeight="1">
      <c r="B3" s="4" t="s">
        <v>49</v>
      </c>
      <c r="C3" s="5">
        <f>'Financial Statements'!H3*'Financial Statements'!H47*(1-'Financial Statements'!H52)</f>
        <v>13483.10507</v>
      </c>
      <c r="D3" s="5">
        <f>'Financial Statements'!I3*'Financial Statements'!I47*(1-'Financial Statements'!I52)</f>
        <v>14654.71575</v>
      </c>
      <c r="E3" s="5">
        <f>'Financial Statements'!J3*'Financial Statements'!J47*(1-'Financial Statements'!J52)</f>
        <v>15811.40022</v>
      </c>
      <c r="F3" s="5">
        <f>'Financial Statements'!K3*'Financial Statements'!K47*(1-'Financial Statements'!K52)</f>
        <v>16631.92845</v>
      </c>
      <c r="G3" s="37">
        <f>'Financial Statements'!L3*'Financial Statements'!L47*(1-'Financial Statements'!L52)</f>
        <v>17356.0097</v>
      </c>
    </row>
    <row r="4" ht="14.25" customHeight="1">
      <c r="B4" s="9" t="s">
        <v>50</v>
      </c>
      <c r="C4" s="10">
        <f>'Financial Statements'!H38</f>
        <v>8901.368</v>
      </c>
      <c r="D4" s="10">
        <f>'Financial Statements'!I38</f>
        <v>9187.513693</v>
      </c>
      <c r="E4" s="10">
        <f>'Financial Statements'!J38</f>
        <v>9636.589966</v>
      </c>
      <c r="F4" s="10">
        <f>'Financial Statements'!K38</f>
        <v>10083.56928</v>
      </c>
      <c r="G4" s="38">
        <f>'Financial Statements'!L38</f>
        <v>10558.71569</v>
      </c>
    </row>
    <row r="5" ht="14.25" customHeight="1">
      <c r="B5" s="18" t="s">
        <v>32</v>
      </c>
      <c r="C5" s="19">
        <f>-'Financial Statements'!H49*'Financial Statements'!H3</f>
        <v>-11035.32858</v>
      </c>
      <c r="D5" s="19">
        <f>-'Financial Statements'!I49*'Financial Statements'!I3</f>
        <v>-11994.2404</v>
      </c>
      <c r="E5" s="19">
        <f>-'Financial Statements'!J49*'Financial Statements'!J3</f>
        <v>-12826.57739</v>
      </c>
      <c r="F5" s="19">
        <f>-'Financial Statements'!K49*'Financial Statements'!K3</f>
        <v>-13492.20906</v>
      </c>
      <c r="G5" s="77">
        <f>-'Financial Statements'!L49*'Financial Statements'!L3</f>
        <v>-13956.26985</v>
      </c>
    </row>
    <row r="6" ht="14.25" customHeight="1">
      <c r="B6" s="9" t="s">
        <v>51</v>
      </c>
      <c r="C6" s="10">
        <f>-'Financial Statements'!H51*'Financial Statements'!H3</f>
        <v>1021.002253</v>
      </c>
      <c r="D6" s="10">
        <f>-'Financial Statements'!I51*'Financial Statements'!I3</f>
        <v>1109.721961</v>
      </c>
      <c r="E6" s="10">
        <f>-'Financial Statements'!J51*'Financial Statements'!J3</f>
        <v>1186.730809</v>
      </c>
      <c r="F6" s="10">
        <f>-'Financial Statements'!K51*'Financial Statements'!K3</f>
        <v>1248.315875</v>
      </c>
      <c r="G6" s="38">
        <f>-'Financial Statements'!L51*'Financial Statements'!L3</f>
        <v>1291.251353</v>
      </c>
    </row>
    <row r="7" ht="14.25" customHeight="1">
      <c r="B7" s="32" t="s">
        <v>52</v>
      </c>
      <c r="C7" s="33">
        <f t="shared" ref="C7:G7" si="1">C3+C4+C5+C6</f>
        <v>12370.14674</v>
      </c>
      <c r="D7" s="33">
        <f t="shared" si="1"/>
        <v>12957.711</v>
      </c>
      <c r="E7" s="33">
        <f t="shared" si="1"/>
        <v>13808.14361</v>
      </c>
      <c r="F7" s="33">
        <f t="shared" si="1"/>
        <v>14471.60454</v>
      </c>
      <c r="G7" s="78">
        <f t="shared" si="1"/>
        <v>15249.7069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23.5"/>
    <col customWidth="1" min="3" max="6" width="8.88"/>
    <col customWidth="1" min="7" max="26" width="8.63"/>
  </cols>
  <sheetData>
    <row r="1" ht="12.0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2.0" customHeight="1">
      <c r="A2" s="79"/>
      <c r="B2" s="45" t="s">
        <v>53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2.0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2.0" customHeight="1">
      <c r="A4" s="79"/>
      <c r="B4" s="4" t="s">
        <v>54</v>
      </c>
      <c r="C4" s="80">
        <v>0.02815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2.0" customHeight="1">
      <c r="A5" s="79"/>
      <c r="B5" s="9" t="s">
        <v>55</v>
      </c>
      <c r="C5" s="59">
        <v>0.0142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2.0" customHeight="1">
      <c r="A6" s="79"/>
      <c r="B6" s="18" t="s">
        <v>56</v>
      </c>
      <c r="C6" s="66">
        <f>C4+C5</f>
        <v>0.04235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2.0" customHeight="1">
      <c r="A7" s="79"/>
      <c r="B7" s="81" t="s">
        <v>57</v>
      </c>
      <c r="C7" s="82">
        <f>SUM('Financial Statements'!G29:G34)/'Financial Statements'!G35</f>
        <v>0.6296265296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2.0" customHeight="1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2.0" customHeight="1">
      <c r="A9" s="79"/>
      <c r="B9" s="4" t="s">
        <v>58</v>
      </c>
      <c r="C9" s="83">
        <v>1.08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2.0" customHeight="1">
      <c r="A10" s="79"/>
      <c r="B10" s="9" t="s">
        <v>59</v>
      </c>
      <c r="C10" s="59">
        <f>('DAX40'!D10)-C4</f>
        <v>0.2319676617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2.0" customHeight="1">
      <c r="A11" s="79"/>
      <c r="B11" s="18" t="s">
        <v>60</v>
      </c>
      <c r="C11" s="66">
        <f>C4+C9*C10</f>
        <v>0.2786750747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2.0" customHeight="1">
      <c r="A12" s="79"/>
      <c r="B12" s="81" t="s">
        <v>61</v>
      </c>
      <c r="C12" s="82">
        <f>'Financial Statements'!G28/'Financial Statements'!G35</f>
        <v>0.3703734704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2.0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2.0" customHeight="1">
      <c r="A14" s="79"/>
      <c r="B14" s="1" t="s">
        <v>62</v>
      </c>
      <c r="C14" s="84">
        <f>C6*C7*(1-'Financial Statements'!H52)+C11*C12</f>
        <v>0.121879133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2.0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2.0" customHeight="1">
      <c r="A16" s="79"/>
      <c r="B16" s="1" t="s">
        <v>63</v>
      </c>
      <c r="C16" s="85">
        <v>0.01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2.0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2.0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2.0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2.0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2.0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2.0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2.0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2.0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2.0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2.0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2.0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2.0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2.0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2.0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2.0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2.0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2.0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2.0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2.0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2.0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2.0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2.0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2.0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2.0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2.0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2.0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2.0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2.0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2.0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2.0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2.0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2.0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2.0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2.0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2.0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2.0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2.0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2.0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2.0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2.0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2.0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2.0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2.0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2.0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2.0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2.0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2.0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2.0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2.0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2.0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2.0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2.0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2.0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2.0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2.0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2.0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2.0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2.0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2.0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2.0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2.0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2.0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2.0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2.0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2.0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2.0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2.0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2.0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2.0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2.0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2.0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2.0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2.0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2.0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2.0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2.0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2.0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2.0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2.0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2.0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2.0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2.0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2.0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2.0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2.0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2.0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2.0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2.0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2.0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2.0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2.0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2.0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2.0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2.0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2.0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2.0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2.0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2.0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2.0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2.0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2.0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2.0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2.0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2.0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2.0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2.0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2.0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2.0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2.0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2.0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2.0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2.0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2.0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2.0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2.0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2.0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2.0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2.0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2.0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2.0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2.0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2.0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2.0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2.0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2.0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2.0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2.0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2.0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2.0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2.0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2.0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2.0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2.0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2.0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2.0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2.0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2.0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2.0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2.0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2.0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2.0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2.0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2.0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2.0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2.0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2.0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2.0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2.0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2.0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2.0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2.0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2.0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2.0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2.0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2.0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2.0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2.0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2.0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2.0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2.0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2.0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2.0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2.0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2.0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2.0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2.0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2.0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2.0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2.0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2.0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2.0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2.0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2.0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2.0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2.0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2.0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2.0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2.0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2.0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2.0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2.0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2.0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2.0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2.0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2.0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2.0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2.0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2.0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2.0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2.0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2.0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2.0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2.0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2.0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2.0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2.0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2.0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2.0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2.0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2.0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2.0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2.0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2.0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2.0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2.0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2.0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2.0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2.0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2.0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2.0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2.0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2.0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2.0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2.0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2.0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2.0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2.0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2.0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2.0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2.0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2.0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2.0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2.0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2.0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2.0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2.0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2.0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2.0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2.0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2.0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2.0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2.0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2.0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2.0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2.0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2.0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2.0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2.0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2.0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2.0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2.0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2.0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2.0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2.0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2.0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2.0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2.0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2.0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2.0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2.0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2.0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2.0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2.0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2.0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2.0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2.0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2.0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2.0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2.0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2.0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2.0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2.0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2.0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2.0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2.0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2.0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2.0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2.0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2.0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2.0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2.0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2.0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2.0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2.0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2.0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2.0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2.0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2.0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2.0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2.0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2.0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2.0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2.0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2.0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2.0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2.0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2.0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2.0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2.0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2.0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2.0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2.0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2.0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2.0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2.0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2.0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2.0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2.0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2.0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2.0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2.0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2.0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2.0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2.0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2.0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2.0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2.0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2.0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2.0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2.0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2.0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2.0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2.0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2.0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2.0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2.0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2.0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2.0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2.0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2.0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2.0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2.0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2.0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2.0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2.0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2.0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2.0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2.0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2.0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2.0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2.0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2.0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2.0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2.0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2.0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2.0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2.0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2.0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2.0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2.0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2.0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2.0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2.0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2.0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2.0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2.0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2.0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2.0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2.0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2.0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2.0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2.0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2.0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2.0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2.0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2.0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2.0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2.0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2.0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2.0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2.0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2.0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2.0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2.0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2.0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2.0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2.0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2.0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2.0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2.0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2.0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2.0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2.0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2.0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2.0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2.0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2.0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2.0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2.0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2.0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2.0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2.0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2.0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2.0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2.0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2.0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2.0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2.0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2.0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2.0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2.0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2.0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2.0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2.0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2.0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2.0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2.0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2.0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2.0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2.0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2.0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2.0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2.0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2.0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2.0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2.0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2.0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2.0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2.0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2.0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2.0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2.0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2.0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2.0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2.0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2.0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2.0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2.0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2.0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2.0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2.0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2.0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2.0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2.0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2.0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2.0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2.0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2.0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2.0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2.0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2.0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2.0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2.0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2.0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2.0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2.0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2.0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2.0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2.0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2.0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2.0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2.0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2.0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2.0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2.0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2.0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2.0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2.0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2.0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2.0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2.0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2.0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2.0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2.0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2.0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2.0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2.0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2.0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2.0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2.0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2.0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2.0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2.0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2.0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2.0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2.0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2.0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2.0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2.0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2.0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2.0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2.0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2.0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2.0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2.0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2.0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2.0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2.0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2.0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2.0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2.0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2.0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2.0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2.0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2.0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2.0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2.0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2.0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2.0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2.0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2.0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2.0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2.0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2.0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2.0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2.0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2.0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2.0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2.0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2.0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2.0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2.0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2.0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2.0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2.0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2.0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2.0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2.0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2.0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2.0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2.0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2.0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2.0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2.0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2.0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2.0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2.0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2.0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2.0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2.0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2.0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2.0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2.0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2.0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2.0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2.0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2.0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2.0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2.0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2.0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2.0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2.0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2.0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2.0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2.0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2.0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2.0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2.0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2.0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2.0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2.0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2.0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2.0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2.0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2.0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2.0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2.0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2.0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2.0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2.0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2.0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2.0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2.0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2.0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2.0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2.0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2.0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2.0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2.0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2.0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2.0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2.0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2.0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2.0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2.0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2.0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2.0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2.0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2.0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2.0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2.0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2.0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2.0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2.0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2.0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2.0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2.0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2.0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2.0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2.0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2.0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2.0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2.0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2.0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2.0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2.0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2.0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2.0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2.0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2.0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2.0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2.0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2.0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2.0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2.0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2.0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2.0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2.0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2.0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2.0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2.0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2.0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2.0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2.0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2.0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2.0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2.0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2.0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2.0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2.0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2.0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2.0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2.0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2.0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2.0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2.0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2.0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2.0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2.0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2.0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2.0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2.0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2.0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2.0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2.0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2.0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2.0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2.0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2.0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2.0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2.0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2.0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2.0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2.0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2.0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2.0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2.0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2.0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2.0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2.0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2.0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2.0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2.0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2.0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2.0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2.0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2.0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2.0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2.0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2.0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2.0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2.0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2.0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2.0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2.0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2.0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2.0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2.0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2.0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2.0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2.0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2.0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2.0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2.0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2.0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2.0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2.0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2.0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2.0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2.0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2.0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2.0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2.0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2.0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2.0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2.0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2.0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2.0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2.0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2.0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2.0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2.0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2.0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2.0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2.0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2.0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2.0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2.0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2.0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2.0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2.0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2.0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2.0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2.0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2.0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2.0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2.0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2.0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2.0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2.0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2.0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2.0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2.0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2.0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2.0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2.0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2.0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2.0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2.0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2.0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2.0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2.0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2.0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2.0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2.0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2.0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2.0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2.0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2.0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2.0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2.0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2.0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2.0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2.0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2.0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2.0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2.0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2.0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2.0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2.0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2.0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2.0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2.0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2.0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2.0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2.0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2.0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2.0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2.0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2.0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2.0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2.0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2.0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2.0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2.0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2.0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2.0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2.0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2.0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2.0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2.0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2.0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2.0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2.0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2.0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2.0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2.0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2.0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2.0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2.0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2.0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2.0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2.0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2.0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2.0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2.0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2.0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2.0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2.0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2.0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2.0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2.0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2.0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2.0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2.0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2.0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2.0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2.0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2.0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2.0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2.0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2.0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2.0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2.0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2.0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2.0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2.0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2.0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2.0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2.0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2.0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2.0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2.0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2.0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2.0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2.0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2.0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2.0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2.0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2.0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2.0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2.0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2.0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2.0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2.0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2.0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2.0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2.0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2.0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2.0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2.0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2.0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2.0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2.0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2.0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2.0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2.0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2.0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2.0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2.0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2.0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2.0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2.0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2.0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2.0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2.0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2.0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2.0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2.0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2.0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2.0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2.0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2.0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2.0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2.0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2.0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2.0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2.0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2.0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2.0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2.0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2.0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2.0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2.0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2.0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2.0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2.0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2.0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2.0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2.0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2.0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2.0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2.0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2.0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2.0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2.0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2.0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2.0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2.0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2.0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2.0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2.0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2.0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2.0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2.0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2.0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2.0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2.0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2.0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2.0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2.0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2.0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2.0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2.0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2.0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2.0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2.0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2.0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2.0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2.0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2.0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2.0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2.0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2.0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2.0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2.0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2.0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2.0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2.0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2.0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2.0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2.0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2.0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2.0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2.0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2.0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2.0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2.0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2.0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2.0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2.0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2.0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2.0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2.0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2.0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2.0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2.0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2.0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2.0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2.0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2.0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2.0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2.0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2.0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2.0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2.0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2.0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2.0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2.0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2.0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2.0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2.0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2.0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2.0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2.0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2.0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2.0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2.0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2.0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2.0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2.0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2.0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2.0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2.0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2.0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2.0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2.0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2.0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2.0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2.0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2.0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2.0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2.0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2.0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2.0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2.0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2.0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2.0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2.0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2.0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2.0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2.0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2.0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2.0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2.0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2.0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2.0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2.0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2.0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2.0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2.0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2.0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2.0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2.0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2.0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2.0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2.0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2.0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2.0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2.0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2.0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2.0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2.0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2.0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2.0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2.0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2.0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2.0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2.0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2.0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2.0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2.0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2.0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2.0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25.13"/>
    <col customWidth="1" min="3" max="3" width="9.38"/>
    <col customWidth="1" min="4" max="4" width="8.88"/>
    <col customWidth="1" min="5" max="5" width="8.25"/>
    <col customWidth="1" min="6" max="8" width="8.88"/>
    <col customWidth="1" min="9" max="26" width="8.63"/>
  </cols>
  <sheetData>
    <row r="1" ht="12.0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2.0" customHeight="1">
      <c r="A2" s="79"/>
      <c r="B2" s="76" t="s">
        <v>64</v>
      </c>
      <c r="C2" s="2">
        <v>2024.0</v>
      </c>
      <c r="D2" s="2">
        <v>2025.0</v>
      </c>
      <c r="E2" s="2">
        <v>2026.0</v>
      </c>
      <c r="F2" s="2">
        <v>2027.0</v>
      </c>
      <c r="G2" s="2">
        <v>2028.0</v>
      </c>
      <c r="H2" s="2" t="s">
        <v>65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2.0" customHeight="1">
      <c r="A3" s="79"/>
      <c r="B3" s="4" t="s">
        <v>52</v>
      </c>
      <c r="C3" s="5">
        <f>FCF!C3</f>
        <v>13483.10507</v>
      </c>
      <c r="D3" s="5">
        <f>FCF!D3</f>
        <v>14654.71575</v>
      </c>
      <c r="E3" s="5">
        <f>FCF!E3</f>
        <v>15811.40022</v>
      </c>
      <c r="F3" s="5">
        <f>FCF!F3</f>
        <v>16631.92845</v>
      </c>
      <c r="G3" s="5">
        <f>FCF!G3</f>
        <v>17356.0097</v>
      </c>
      <c r="H3" s="37">
        <f>(G3*(1+G9))/(G8-G9)</f>
        <v>156683.1037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2.0" customHeight="1">
      <c r="A4" s="79"/>
      <c r="B4" s="81" t="s">
        <v>66</v>
      </c>
      <c r="C4" s="86">
        <f>1/(1+G8)</f>
        <v>0.8913616187</v>
      </c>
      <c r="D4" s="86">
        <f>1/(1+G8)^2</f>
        <v>0.7945255353</v>
      </c>
      <c r="E4" s="86">
        <f>1/(1+G8)^3</f>
        <v>0.7082095673</v>
      </c>
      <c r="F4" s="86">
        <f>1/(1+G8)^4</f>
        <v>0.6312708263</v>
      </c>
      <c r="G4" s="86">
        <f>1/(1+G8)^5</f>
        <v>0.5626905856</v>
      </c>
      <c r="H4" s="87">
        <f>G4</f>
        <v>0.5626905856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2.0" customHeight="1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2.0" customHeight="1">
      <c r="A6" s="79"/>
      <c r="B6" s="88" t="s">
        <v>67</v>
      </c>
      <c r="C6" s="89">
        <f>C3*C4+D3*D4+E3*E4+F3*F4+G3*G4+H3*H4</f>
        <v>143289.075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2.0" customHeight="1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2.0" customHeight="1">
      <c r="A8" s="79"/>
      <c r="B8" s="4" t="s">
        <v>68</v>
      </c>
      <c r="C8" s="37">
        <f>'Financial Statements'!G32-'Financial Statements'!G26</f>
        <v>77683</v>
      </c>
      <c r="D8" s="79"/>
      <c r="E8" s="79"/>
      <c r="F8" s="4" t="s">
        <v>62</v>
      </c>
      <c r="G8" s="80">
        <f>WACC!C14</f>
        <v>0.121879133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2.0" customHeight="1">
      <c r="A9" s="79"/>
      <c r="B9" s="81" t="s">
        <v>69</v>
      </c>
      <c r="C9" s="90">
        <f>'Financial Statements'!G29+'Financial Statements'!G30</f>
        <v>17464</v>
      </c>
      <c r="D9" s="79"/>
      <c r="E9" s="79"/>
      <c r="F9" s="81" t="s">
        <v>63</v>
      </c>
      <c r="G9" s="82">
        <f>WACC!C16</f>
        <v>0.01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2.0" customHeight="1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2.0" customHeight="1">
      <c r="A11" s="79"/>
      <c r="B11" s="88" t="s">
        <v>70</v>
      </c>
      <c r="C11" s="89">
        <f>C6-C8-C9</f>
        <v>48142.07501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2.0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2.0" customHeight="1">
      <c r="A13" s="79"/>
      <c r="B13" s="88" t="s">
        <v>71</v>
      </c>
      <c r="C13" s="89">
        <v>6.3E8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2.0" customHeight="1">
      <c r="A14" s="79"/>
      <c r="B14" s="79"/>
      <c r="C14" s="10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2.0" customHeight="1">
      <c r="A15" s="79"/>
      <c r="B15" s="91" t="s">
        <v>72</v>
      </c>
      <c r="C15" s="92">
        <f>(C11*1000000)/C13</f>
        <v>76.41599208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2.0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2.0" customHeight="1">
      <c r="A17" s="79"/>
      <c r="B17" s="93" t="s">
        <v>73</v>
      </c>
      <c r="C17" s="94">
        <v>73.22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2.0" customHeight="1">
      <c r="A18" s="79"/>
      <c r="B18" s="95" t="s">
        <v>74</v>
      </c>
      <c r="C18" s="96">
        <f>1-C17/C15</f>
        <v>0.04182360257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2.0" customHeight="1">
      <c r="A19" s="79"/>
      <c r="B19" s="97" t="s">
        <v>75</v>
      </c>
      <c r="C19" s="98">
        <v>0.3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2.0" customHeight="1">
      <c r="A20" s="79"/>
      <c r="B20" s="99" t="s">
        <v>76</v>
      </c>
      <c r="C20" s="100">
        <f>(1-C19)*C15</f>
        <v>53.49119446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2.0" customHeight="1">
      <c r="A21" s="79"/>
      <c r="B21" s="101" t="s">
        <v>77</v>
      </c>
      <c r="C21" s="102">
        <f>(1+C19)*C15</f>
        <v>99.34078971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2.0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2.0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2.0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2.0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2.0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2.0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2.0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2.0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2.0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2.0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2.0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2.0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2.0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2.0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2.0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2.0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2.0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2.0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2.0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2.0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2.0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2.0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2.0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2.0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2.0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2.0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2.0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2.0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2.0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2.0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2.0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2.0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2.0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2.0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2.0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2.0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2.0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2.0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2.0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2.0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2.0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2.0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2.0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2.0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2.0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2.0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2.0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2.0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2.0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2.0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2.0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2.0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2.0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2.0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2.0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2.0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2.0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2.0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2.0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2.0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2.0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2.0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2.0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2.0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2.0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2.0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2.0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2.0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2.0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2.0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2.0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2.0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2.0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2.0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2.0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2.0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2.0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2.0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2.0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2.0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2.0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2.0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2.0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2.0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2.0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2.0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2.0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2.0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2.0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2.0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2.0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2.0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2.0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2.0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2.0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2.0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2.0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2.0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2.0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2.0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2.0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2.0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2.0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2.0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2.0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2.0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2.0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2.0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2.0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2.0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2.0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2.0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2.0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2.0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2.0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2.0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2.0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2.0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2.0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2.0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2.0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2.0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2.0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2.0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2.0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2.0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2.0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2.0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2.0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2.0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2.0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2.0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2.0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2.0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2.0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2.0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2.0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2.0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2.0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2.0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2.0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2.0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2.0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2.0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2.0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2.0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2.0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2.0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2.0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2.0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2.0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2.0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2.0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2.0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2.0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2.0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2.0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2.0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2.0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2.0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2.0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2.0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2.0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2.0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2.0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2.0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2.0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2.0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2.0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2.0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2.0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2.0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2.0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2.0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2.0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2.0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2.0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2.0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2.0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2.0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2.0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2.0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2.0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2.0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2.0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2.0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2.0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2.0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2.0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2.0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2.0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2.0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2.0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2.0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2.0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2.0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2.0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2.0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2.0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2.0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2.0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2.0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2.0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2.0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2.0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2.0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2.0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2.0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2.0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2.0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2.0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2.0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2.0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2.0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2.0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2.0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2.0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2.0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2.0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2.0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2.0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2.0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2.0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2.0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2.0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2.0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2.0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2.0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2.0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2.0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2.0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2.0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2.0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2.0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2.0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2.0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2.0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2.0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2.0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2.0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2.0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2.0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2.0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2.0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2.0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2.0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2.0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2.0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2.0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2.0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2.0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2.0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2.0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2.0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2.0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2.0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2.0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2.0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2.0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2.0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2.0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2.0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2.0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2.0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2.0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2.0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2.0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2.0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2.0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2.0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2.0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2.0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2.0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2.0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2.0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2.0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2.0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2.0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2.0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2.0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2.0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2.0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2.0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2.0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2.0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2.0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2.0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2.0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2.0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2.0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2.0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2.0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2.0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2.0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2.0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2.0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2.0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2.0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2.0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2.0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2.0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2.0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2.0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2.0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2.0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2.0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2.0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2.0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2.0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2.0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2.0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2.0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2.0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2.0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2.0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2.0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2.0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2.0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2.0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2.0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2.0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2.0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2.0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2.0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2.0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2.0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2.0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2.0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2.0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2.0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2.0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2.0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2.0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2.0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2.0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2.0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2.0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2.0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2.0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2.0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2.0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2.0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2.0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2.0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2.0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2.0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2.0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2.0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2.0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2.0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2.0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2.0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2.0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2.0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2.0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2.0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2.0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2.0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2.0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2.0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2.0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2.0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2.0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2.0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2.0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2.0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2.0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2.0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2.0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2.0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2.0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2.0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2.0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2.0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2.0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2.0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2.0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2.0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2.0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2.0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2.0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2.0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2.0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2.0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2.0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2.0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2.0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2.0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2.0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2.0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2.0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2.0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2.0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2.0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2.0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2.0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2.0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2.0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2.0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2.0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2.0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2.0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2.0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2.0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2.0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2.0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2.0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2.0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2.0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2.0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2.0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2.0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2.0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2.0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2.0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2.0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2.0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2.0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2.0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2.0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2.0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2.0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2.0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2.0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2.0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2.0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2.0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2.0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2.0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2.0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2.0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2.0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2.0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2.0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2.0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2.0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2.0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2.0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2.0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2.0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2.0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2.0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2.0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2.0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2.0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2.0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2.0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2.0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2.0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2.0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2.0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2.0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2.0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2.0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2.0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2.0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2.0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2.0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2.0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2.0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2.0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2.0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2.0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2.0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2.0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2.0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2.0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2.0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2.0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2.0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2.0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2.0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2.0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2.0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2.0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2.0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2.0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2.0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2.0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2.0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2.0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2.0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2.0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2.0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2.0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2.0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2.0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2.0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2.0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2.0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2.0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2.0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2.0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2.0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2.0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2.0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2.0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2.0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2.0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2.0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2.0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2.0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2.0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2.0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2.0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2.0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2.0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2.0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2.0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2.0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2.0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2.0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2.0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2.0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2.0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2.0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2.0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2.0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2.0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2.0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2.0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2.0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2.0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2.0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2.0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2.0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2.0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2.0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2.0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2.0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2.0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2.0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2.0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2.0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2.0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2.0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2.0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2.0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2.0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2.0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2.0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2.0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2.0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2.0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2.0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2.0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2.0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2.0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2.0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2.0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2.0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2.0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2.0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2.0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2.0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2.0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2.0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2.0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2.0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2.0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2.0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2.0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2.0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2.0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2.0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2.0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2.0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2.0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2.0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2.0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2.0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2.0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2.0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2.0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2.0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2.0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2.0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2.0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2.0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2.0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2.0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2.0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2.0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2.0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2.0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2.0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2.0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2.0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2.0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2.0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2.0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2.0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2.0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2.0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2.0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2.0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2.0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2.0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2.0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2.0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2.0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2.0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2.0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2.0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2.0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2.0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2.0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2.0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2.0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2.0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2.0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2.0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2.0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2.0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2.0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2.0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2.0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2.0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2.0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2.0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2.0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2.0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2.0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2.0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2.0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2.0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2.0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2.0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2.0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2.0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2.0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2.0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2.0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2.0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2.0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2.0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2.0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2.0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2.0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2.0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2.0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2.0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2.0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2.0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2.0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2.0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2.0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2.0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2.0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2.0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2.0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2.0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2.0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2.0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2.0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2.0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2.0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2.0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2.0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2.0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2.0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2.0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2.0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2.0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2.0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2.0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2.0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2.0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2.0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2.0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2.0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2.0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2.0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2.0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2.0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2.0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2.0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2.0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2.0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2.0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2.0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2.0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2.0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2.0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2.0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2.0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2.0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2.0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2.0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2.0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2.0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2.0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2.0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2.0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2.0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2.0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2.0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2.0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2.0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2.0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2.0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2.0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2.0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2.0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2.0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2.0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2.0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2.0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2.0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2.0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2.0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2.0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2.0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2.0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2.0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2.0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2.0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2.0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2.0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2.0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2.0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2.0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2.0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2.0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2.0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2.0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2.0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2.0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2.0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2.0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2.0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2.0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2.0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2.0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2.0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2.0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2.0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2.0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2.0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2.0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2.0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2.0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2.0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2.0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2.0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2.0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2.0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2.0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2.0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2.0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2.0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2.0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2.0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2.0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2.0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2.0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2.0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2.0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2.0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2.0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2.0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2.0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2.0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2.0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2.0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2.0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2.0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2.0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2.0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2.0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2.0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2.0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2.0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2.0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2.0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2.0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2.0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2.0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2.0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2.0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2.0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2.0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2.0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2.0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2.0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2.0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2.0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2.0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2.0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2.0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2.0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2.0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2.0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2.0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2.0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2.0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2.0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2.0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2.0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2.0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2.0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2.0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2.0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2.0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2.0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2.0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2.0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2.0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2.0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2.0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2.0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2.0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2.0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2.0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2.0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2.0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2.0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2.0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2.0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2.0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2.0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2.0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2.0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2.0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2.0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2.0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2.0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2.0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2.0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2.0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2.0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2.0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2.0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2.0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2.0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2.0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2.0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2.0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2.0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2.0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2.0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2.0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2.0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2.0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2.0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2.0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2.0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2.0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2.0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2.0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2.0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2.0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2.0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2.0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2.0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2.0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2.0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2.0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2.0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2.0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2.0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2.0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2.0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2.0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2.0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2.0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2.0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2.0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2.0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2.0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2.0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2.0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2.0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2.0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2.0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2.0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2.0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2.0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2.0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2.0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2.0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2.0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2.0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2.0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2.0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2.0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2.0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2.0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2.0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2.0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2.0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2.0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2.0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2.0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2.0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2.0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2.0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2.0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2.0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2.0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2.0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2.0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2.0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2.0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2.0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2.0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2.0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2.0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2.0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2.0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2.0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2.0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2.0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2.0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2.0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2.0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2.0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2.0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2.0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2.0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2.0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2.0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2.0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2.0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2.0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2.0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2.0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2.0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2.0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2.0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2.0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2.0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2.0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2.0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2.0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2.0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2.0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2.0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2.0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2.0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2.0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2.0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2.0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2.0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2.0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2.0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2.0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2.0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2.0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2.0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2.0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2.0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2.0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2.0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2.0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2.0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2.0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2.0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2.0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2.0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2.0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2.0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2.0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2.0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2.0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2.0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2.0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2.0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2.0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2.0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2.0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2.0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2.0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2.0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2.0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2.0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2.0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2.0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2.0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1.63"/>
    <col customWidth="1" min="3" max="3" width="11.0"/>
    <col customWidth="1" min="4" max="6" width="8.88"/>
    <col customWidth="1" min="7" max="26" width="8.63"/>
  </cols>
  <sheetData>
    <row r="1" ht="12.0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2.0" customHeight="1">
      <c r="A2" s="79"/>
      <c r="B2" s="103" t="s">
        <v>78</v>
      </c>
      <c r="C2" s="103" t="s">
        <v>79</v>
      </c>
      <c r="D2" s="103" t="s">
        <v>80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2.0" customHeight="1">
      <c r="A3" s="79"/>
      <c r="B3" s="104">
        <v>43475.0</v>
      </c>
      <c r="C3" s="103">
        <v>12263.83</v>
      </c>
      <c r="D3" s="105">
        <f>(C3-12339.03)/12339.03</f>
        <v>-0.006094482305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2.0" customHeight="1">
      <c r="A4" s="79"/>
      <c r="B4" s="104">
        <v>43840.0</v>
      </c>
      <c r="C4" s="103">
        <v>12730.77</v>
      </c>
      <c r="D4" s="105">
        <f t="shared" ref="D4:D8" si="1">(C4-C3)/C3</f>
        <v>0.03807456561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2.0" customHeight="1">
      <c r="A5" s="79"/>
      <c r="B5" s="104">
        <v>44206.0</v>
      </c>
      <c r="C5" s="103">
        <v>15156.44</v>
      </c>
      <c r="D5" s="105">
        <f t="shared" si="1"/>
        <v>0.1905360006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2.0" customHeight="1">
      <c r="A6" s="79"/>
      <c r="B6" s="104">
        <v>44834.0</v>
      </c>
      <c r="C6" s="103">
        <v>12114.36</v>
      </c>
      <c r="D6" s="105">
        <f t="shared" si="1"/>
        <v>-0.2007120406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2.0" customHeight="1">
      <c r="A7" s="79"/>
      <c r="B7" s="104">
        <v>44967.0</v>
      </c>
      <c r="C7" s="103">
        <v>15247.1</v>
      </c>
      <c r="D7" s="105">
        <f t="shared" si="1"/>
        <v>0.258597235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2.0" customHeight="1">
      <c r="A8" s="79"/>
      <c r="B8" s="104">
        <v>45301.0</v>
      </c>
      <c r="C8" s="103">
        <v>19213.14</v>
      </c>
      <c r="D8" s="105">
        <f t="shared" si="1"/>
        <v>0.2601176617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2.0" customHeight="1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2.0" customHeight="1">
      <c r="A10" s="79"/>
      <c r="B10" s="106" t="s">
        <v>81</v>
      </c>
      <c r="C10" s="107"/>
      <c r="D10" s="108">
        <f>D8</f>
        <v>0.2601176617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2.0" customHeight="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2.0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2.0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2.0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2.0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2.0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2.0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2.0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2.0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2.0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2.0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2.0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2.0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2.0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2.0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2.0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2.0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2.0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2.0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2.0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2.0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2.0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2.0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2.0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2.0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2.0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2.0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2.0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2.0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2.0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2.0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2.0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2.0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2.0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2.0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2.0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2.0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2.0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2.0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2.0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2.0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2.0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2.0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2.0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2.0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2.0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2.0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2.0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2.0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2.0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2.0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2.0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2.0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2.0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2.0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2.0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2.0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2.0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2.0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2.0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2.0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2.0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2.0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2.0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2.0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2.0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2.0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2.0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2.0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2.0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2.0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2.0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2.0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2.0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2.0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2.0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2.0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2.0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2.0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2.0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2.0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2.0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2.0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2.0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2.0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2.0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2.0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2.0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2.0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2.0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2.0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2.0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2.0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2.0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2.0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2.0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2.0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2.0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2.0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2.0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2.0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2.0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2.0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2.0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2.0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2.0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2.0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2.0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2.0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2.0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2.0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2.0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2.0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2.0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2.0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2.0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2.0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2.0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2.0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2.0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2.0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2.0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2.0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2.0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2.0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2.0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2.0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2.0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2.0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2.0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2.0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2.0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2.0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2.0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2.0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2.0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2.0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2.0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2.0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2.0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2.0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2.0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2.0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2.0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2.0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2.0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2.0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2.0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2.0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2.0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2.0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2.0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2.0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2.0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2.0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2.0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2.0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2.0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2.0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2.0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2.0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2.0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2.0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2.0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2.0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2.0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2.0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2.0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2.0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2.0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2.0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2.0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2.0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2.0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2.0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2.0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2.0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2.0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2.0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2.0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2.0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2.0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2.0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2.0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2.0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2.0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2.0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2.0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2.0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2.0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2.0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2.0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2.0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2.0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2.0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2.0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2.0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2.0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2.0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2.0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2.0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2.0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2.0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2.0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2.0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2.0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2.0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2.0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2.0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2.0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2.0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2.0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2.0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2.0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2.0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2.0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2.0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2.0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2.0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2.0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2.0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2.0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2.0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2.0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2.0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2.0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2.0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2.0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2.0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2.0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2.0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2.0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2.0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2.0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2.0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2.0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2.0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2.0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2.0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2.0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2.0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2.0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2.0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2.0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2.0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2.0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2.0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2.0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2.0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2.0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2.0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2.0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2.0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2.0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2.0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2.0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2.0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2.0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2.0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2.0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2.0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2.0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2.0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2.0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2.0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2.0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2.0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2.0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2.0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2.0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2.0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2.0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2.0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2.0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2.0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2.0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2.0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2.0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2.0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2.0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2.0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2.0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2.0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2.0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2.0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2.0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2.0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2.0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2.0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2.0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2.0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2.0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2.0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2.0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2.0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2.0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2.0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2.0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2.0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2.0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2.0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2.0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2.0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2.0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2.0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2.0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2.0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2.0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2.0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2.0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2.0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2.0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2.0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2.0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2.0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2.0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2.0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2.0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2.0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2.0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2.0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2.0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2.0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2.0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2.0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2.0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2.0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2.0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2.0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2.0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2.0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2.0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2.0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2.0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2.0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2.0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2.0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2.0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2.0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2.0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2.0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2.0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2.0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2.0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2.0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2.0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2.0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2.0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2.0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2.0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2.0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2.0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2.0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2.0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2.0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2.0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2.0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2.0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2.0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2.0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2.0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2.0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2.0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2.0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2.0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2.0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2.0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2.0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2.0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2.0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2.0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2.0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2.0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2.0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2.0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2.0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2.0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2.0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2.0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2.0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2.0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2.0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2.0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2.0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2.0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2.0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2.0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2.0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2.0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2.0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2.0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2.0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2.0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2.0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2.0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2.0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2.0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2.0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2.0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2.0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2.0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2.0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2.0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2.0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2.0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2.0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2.0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2.0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2.0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2.0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2.0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2.0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2.0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2.0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2.0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2.0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2.0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2.0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2.0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2.0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2.0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2.0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2.0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2.0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2.0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2.0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2.0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2.0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2.0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2.0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2.0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2.0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2.0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2.0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2.0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2.0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2.0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2.0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2.0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2.0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2.0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2.0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2.0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2.0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2.0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2.0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2.0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2.0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2.0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2.0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2.0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2.0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2.0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2.0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2.0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2.0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2.0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2.0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2.0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2.0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2.0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2.0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2.0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2.0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2.0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2.0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2.0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2.0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2.0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2.0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2.0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2.0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2.0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2.0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2.0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2.0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2.0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2.0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2.0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2.0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2.0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2.0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2.0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2.0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2.0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2.0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2.0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2.0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2.0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2.0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2.0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2.0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2.0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2.0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2.0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2.0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2.0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2.0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2.0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2.0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2.0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2.0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2.0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2.0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2.0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2.0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2.0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2.0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2.0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2.0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2.0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2.0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2.0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2.0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2.0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2.0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2.0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2.0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2.0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2.0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2.0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2.0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2.0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2.0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2.0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2.0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2.0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2.0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2.0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2.0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2.0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2.0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2.0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2.0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2.0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2.0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2.0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2.0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2.0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2.0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2.0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2.0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2.0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2.0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2.0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2.0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2.0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2.0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2.0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2.0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2.0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2.0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2.0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2.0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2.0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2.0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2.0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2.0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2.0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2.0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2.0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2.0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2.0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2.0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2.0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2.0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2.0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2.0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2.0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2.0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2.0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2.0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2.0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2.0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2.0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2.0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2.0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2.0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2.0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2.0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2.0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2.0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2.0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2.0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2.0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2.0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2.0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2.0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2.0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2.0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2.0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2.0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2.0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2.0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2.0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2.0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2.0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2.0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2.0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2.0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2.0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2.0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2.0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2.0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2.0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2.0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2.0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2.0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2.0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2.0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2.0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2.0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2.0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2.0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2.0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2.0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2.0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2.0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2.0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2.0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2.0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2.0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2.0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2.0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2.0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2.0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2.0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2.0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2.0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2.0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2.0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2.0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2.0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2.0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2.0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2.0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2.0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2.0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2.0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2.0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2.0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2.0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2.0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2.0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2.0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2.0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2.0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2.0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2.0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2.0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2.0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2.0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2.0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2.0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2.0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2.0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2.0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2.0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2.0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2.0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2.0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2.0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2.0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2.0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2.0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2.0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2.0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2.0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2.0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2.0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2.0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2.0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2.0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2.0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2.0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2.0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2.0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2.0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2.0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2.0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2.0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2.0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2.0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2.0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2.0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2.0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2.0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2.0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2.0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2.0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2.0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2.0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2.0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2.0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2.0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2.0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2.0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2.0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2.0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2.0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2.0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2.0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2.0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2.0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2.0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2.0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2.0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2.0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2.0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2.0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2.0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2.0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2.0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2.0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2.0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2.0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2.0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2.0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2.0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2.0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2.0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2.0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2.0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2.0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2.0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2.0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2.0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2.0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2.0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2.0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2.0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2.0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2.0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2.0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2.0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2.0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2.0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2.0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2.0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2.0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2.0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2.0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2.0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2.0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2.0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2.0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2.0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2.0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2.0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2.0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2.0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2.0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2.0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2.0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2.0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2.0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2.0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2.0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2.0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2.0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2.0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2.0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2.0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2.0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2.0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2.0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2.0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2.0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2.0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2.0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2.0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2.0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2.0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2.0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2.0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2.0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2.0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2.0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2.0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2.0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2.0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2.0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2.0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2.0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2.0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2.0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2.0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2.0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2.0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2.0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2.0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2.0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2.0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2.0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2.0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2.0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2.0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2.0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2.0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2.0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2.0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2.0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2.0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2.0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2.0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2.0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2.0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2.0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2.0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2.0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2.0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2.0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2.0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2.0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2.0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2.0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2.0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2.0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2.0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2.0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2.0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2.0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2.0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2.0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2.0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2.0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2.0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2.0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2.0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2.0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2.0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2.0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2.0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2.0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2.0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2.0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2.0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2.0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2.0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2.0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2.0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2.0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2.0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2.0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2.0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2.0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2.0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2.0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2.0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2.0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2.0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2.0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2.0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2.0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2.0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2.0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2.0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2.0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2.0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2.0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2.0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2.0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2.0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2.0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2.0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2.0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2.0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2.0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2.0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2.0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2.0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2.0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2.0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2.0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2.0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2.0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2.0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2.0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2.0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2.0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2.0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2.0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2.0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2.0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2.0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2.0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2.0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2.0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2.0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2.0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2.0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2.0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2.0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2.0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2.0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2.0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2.0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2.0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2.0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2.0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2.0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2.0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2.0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2.0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2.0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2.0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2.0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2.0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2.0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2.0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2.0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2.0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2.0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2.0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2.0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2.0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2.0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2.0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2.0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2.0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2.0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2.0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2.0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2.0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2.0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2.0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2.0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2.0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2.0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2.0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2.0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2.0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2.0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2.0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2.0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2.0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2.0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2.0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2.0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2.0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2.0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2.0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2.0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2.0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2.0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2.0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2.0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2.0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2.0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2.0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2.0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2.0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2.0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2.0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2.0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2.0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2.0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2.0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2.0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2.0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2.0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2.0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2.0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2.0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2.0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2.0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2.0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2.0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2.0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2.0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2.0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2.0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2.0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2.0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2.0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2.0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2.0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2.0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2.0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2.0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2.0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2.0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2.0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2.0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2.0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2.0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2.0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2.0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2.0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2.0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2024-10-28T14:09:43Z</dcterms:created>
  <dc:creator>Miguel Ángel González Álvarez</dc:creator>
</cp:coreProperties>
</file>