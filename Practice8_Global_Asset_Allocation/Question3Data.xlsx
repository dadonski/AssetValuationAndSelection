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onk\Desktop\"/>
    </mc:Choice>
  </mc:AlternateContent>
  <xr:revisionPtr revIDLastSave="0" documentId="8_{BFD0A374-C0AF-4A73-B3B4-C8A9AB3A96A8}" xr6:coauthVersionLast="47" xr6:coauthVersionMax="47" xr10:uidLastSave="{00000000-0000-0000-0000-000000000000}"/>
  <bookViews>
    <workbookView xWindow="-108" yWindow="-108" windowWidth="23256" windowHeight="12456" xr2:uid="{24439E66-483E-4F31-A376-E2BEAE0177D7}"/>
  </bookViews>
  <sheets>
    <sheet name="Question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FC1D1-97B5-48BF-A336-D9E121F86B44}" keepAlive="1" name="Query - Canada 1-Month Bond Yield Historical Data" description="Connection to the 'Canada 1-Month Bond Yield Historical Data' query in the workbook." type="5" refreshedVersion="0" background="1">
    <dbPr connection="Provider=Microsoft.Mashup.OleDb.1;Data Source=$Workbook$;Location=&quot;Canada 1-Month Bond Yield Historical Data&quot;;Extended Properties=&quot;&quot;" command="SELECT * FROM [Canada 1-Month Bond Yield Historical Data]"/>
  </connection>
  <connection id="2" xr16:uid="{1FF47645-9D4A-431B-AEE5-B286B40ADB63}" keepAlive="1" name="Query - CMR ETF Stock Price History" description="Connection to the 'CMR ETF Stock Price History' query in the workbook." type="5" refreshedVersion="0" background="1">
    <dbPr connection="Provider=Microsoft.Mashup.OleDb.1;Data Source=$Workbook$;Location=&quot;CMR ETF Stock Price History&quot;;Extended Properties=&quot;&quot;" command="SELECT * FROM [CMR ETF Stock Price History]"/>
  </connection>
  <connection id="3" xr16:uid="{AB55C869-96A9-4AD4-8FE6-529FC3C29A96}" keepAlive="1" name="Query - EWJ ETF Stock Price History" description="Connection to the 'EWJ ETF Stock Price History' query in the workbook." type="5" refreshedVersion="0" background="1">
    <dbPr connection="Provider=Microsoft.Mashup.OleDb.1;Data Source=$Workbook$;Location=&quot;EWJ ETF Stock Price History&quot;;Extended Properties=&quot;&quot;" command="SELECT * FROM [EWJ ETF Stock Price History]"/>
  </connection>
  <connection id="4" xr16:uid="{BB4D415C-5A39-47A0-B57F-ACDAE2C381B8}" keepAlive="1" name="Query - EWU ETF Stock Price History" description="Connection to the 'EWU ETF Stock Price History' query in the workbook." type="5" refreshedVersion="0" background="1">
    <dbPr connection="Provider=Microsoft.Mashup.OleDb.1;Data Source=$Workbook$;Location=&quot;EWU ETF Stock Price History&quot;;Extended Properties=&quot;&quot;" command="SELECT * FROM [EWU ETF Stock Price History]"/>
  </connection>
  <connection id="5" xr16:uid="{7527AB72-BC74-4662-8A45-44E1DA5FF6C6}" keepAlive="1" name="Query - IEMG ETF Stock Price History" description="Connection to the 'IEMG ETF Stock Price History' query in the workbook." type="5" refreshedVersion="0" background="1">
    <dbPr connection="Provider=Microsoft.Mashup.OleDb.1;Data Source=$Workbook$;Location=&quot;IEMG ETF Stock Price History&quot;;Extended Properties=&quot;&quot;" command="SELECT * FROM [IEMG ETF Stock Price History]"/>
  </connection>
  <connection id="6" xr16:uid="{B5C6030F-E5E1-4541-9894-04FB8A5AC543}" keepAlive="1" name="Query - IEUR ETF Stock Price History" description="Connection to the 'IEUR ETF Stock Price History' query in the workbook." type="5" refreshedVersion="0" background="1">
    <dbPr connection="Provider=Microsoft.Mashup.OleDb.1;Data Source=$Workbook$;Location=&quot;IEUR ETF Stock Price History&quot;;Extended Properties=&quot;&quot;" command="SELECT * FROM [IEUR ETF Stock Price History]"/>
  </connection>
  <connection id="7" xr16:uid="{7E168B09-AE4D-49EF-B63C-0AEA16CB1248}" keepAlive="1" name="Query - IVV ETF Stock Price History" description="Connection to the 'IVV ETF Stock Price History' query in the workbook." type="5" refreshedVersion="0" background="1">
    <dbPr connection="Provider=Microsoft.Mashup.OleDb.1;Data Source=$Workbook$;Location=&quot;IVV ETF Stock Price History&quot;;Extended Properties=&quot;&quot;" command="SELECT * FROM [IVV ETF Stock Price History]"/>
  </connection>
  <connection id="8" xr16:uid="{BC60765C-7BBB-4702-9213-73FF9269FA68}" keepAlive="1" name="Query - SPFB ETF Stock Price History" description="Connection to the 'SPFB ETF Stock Price History' query in the workbook." type="5" refreshedVersion="0" background="1">
    <dbPr connection="Provider=Microsoft.Mashup.OleDb.1;Data Source=$Workbook$;Location=&quot;SPFB ETF Stock Price History&quot;;Extended Properties=&quot;&quot;" command="SELECT * FROM [SPFB ETF Stock Price History]"/>
  </connection>
</connections>
</file>

<file path=xl/sharedStrings.xml><?xml version="1.0" encoding="utf-8"?>
<sst xmlns="http://schemas.openxmlformats.org/spreadsheetml/2006/main" count="9" uniqueCount="9">
  <si>
    <t>Date</t>
  </si>
  <si>
    <t>rf</t>
  </si>
  <si>
    <t>SPFB</t>
  </si>
  <si>
    <t>CMR</t>
  </si>
  <si>
    <t>IVV</t>
  </si>
  <si>
    <t>IEMG</t>
  </si>
  <si>
    <t>IEUR</t>
  </si>
  <si>
    <t>EWJ</t>
  </si>
  <si>
    <t>EWU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</si>
</sst>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1" xfId="1" applyNumberFormat="1" applyFont="1" applyBorder="1"/>
    <xf numFmtId="10" fontId="0" fillId="0" borderId="1" xfId="1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CA17-0FBA-42DF-83B8-14A87D3F93FC}">
  <dimension ref="A1:I62"/>
  <sheetViews>
    <sheetView showGridLines="0" tabSelected="1" workbookViewId="0"/>
  </sheetViews>
  <sheetFormatPr defaultRowHeight="14.4" x14ac:dyDescent="0.3"/>
  <cols>
    <col min="1" max="1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43466</v>
      </c>
      <c r="B2" s="3">
        <v>1.6799999999999999E-2</v>
      </c>
      <c r="C2" s="4">
        <v>9.7000000000000003E-3</v>
      </c>
      <c r="D2" s="4">
        <v>2.0000000000000001E-4</v>
      </c>
      <c r="E2" s="4">
        <f>7.92*(1/100)</f>
        <v>7.9200000000000007E-2</v>
      </c>
      <c r="F2" s="4">
        <v>9.6099999999999991E-2</v>
      </c>
      <c r="G2" s="4">
        <v>6.6299999999999998E-2</v>
      </c>
      <c r="H2" s="4">
        <v>7.0800000000000002E-2</v>
      </c>
      <c r="I2" s="4">
        <v>7.2900000000000006E-2</v>
      </c>
    </row>
    <row r="3" spans="1:9" x14ac:dyDescent="0.3">
      <c r="A3" s="2">
        <v>43497</v>
      </c>
      <c r="B3" s="3">
        <v>1.6500000000000001E-2</v>
      </c>
      <c r="C3" s="4">
        <v>-8.0000000000000002E-3</v>
      </c>
      <c r="D3" s="4">
        <v>2.0000000000000001E-4</v>
      </c>
      <c r="E3" s="4">
        <f>3.23*(1/100)</f>
        <v>3.2300000000000002E-2</v>
      </c>
      <c r="F3" s="4">
        <v>-1.0800000000000001E-2</v>
      </c>
      <c r="G3" s="4">
        <v>3.27E-2</v>
      </c>
      <c r="H3" s="4">
        <v>1.5E-3</v>
      </c>
      <c r="I3" s="4">
        <v>3.4300000000000004E-2</v>
      </c>
    </row>
    <row r="4" spans="1:9" x14ac:dyDescent="0.3">
      <c r="A4" s="2">
        <v>43525</v>
      </c>
      <c r="B4" s="3">
        <v>1.6750000000000001E-2</v>
      </c>
      <c r="C4" s="4">
        <v>1.6299999999999999E-2</v>
      </c>
      <c r="D4" s="4">
        <v>0</v>
      </c>
      <c r="E4" s="4">
        <f>1.51*(1/100)</f>
        <v>1.5100000000000001E-2</v>
      </c>
      <c r="F4" s="4">
        <v>1.15E-2</v>
      </c>
      <c r="G4" s="4">
        <v>7.9000000000000008E-3</v>
      </c>
      <c r="H4" s="4">
        <v>6.6000000000000008E-3</v>
      </c>
      <c r="I4" s="4">
        <v>1.3500000000000002E-2</v>
      </c>
    </row>
    <row r="5" spans="1:9" x14ac:dyDescent="0.3">
      <c r="A5" s="2">
        <v>43556</v>
      </c>
      <c r="B5" s="3">
        <v>1.7050000000000003E-2</v>
      </c>
      <c r="C5" s="4">
        <v>-1.1999999999999999E-3</v>
      </c>
      <c r="D5" s="4">
        <v>-2.0000000000000001E-4</v>
      </c>
      <c r="E5" s="4">
        <f>4*(1/100)</f>
        <v>0.04</v>
      </c>
      <c r="F5" s="4">
        <v>2.1899999999999999E-2</v>
      </c>
      <c r="G5" s="4">
        <v>3.9900000000000005E-2</v>
      </c>
      <c r="H5" s="4">
        <v>1.2800000000000001E-2</v>
      </c>
      <c r="I5" s="4">
        <v>2.2700000000000001E-2</v>
      </c>
    </row>
    <row r="6" spans="1:9" x14ac:dyDescent="0.3">
      <c r="A6" s="2">
        <v>43586</v>
      </c>
      <c r="B6" s="3">
        <v>1.6400000000000001E-2</v>
      </c>
      <c r="C6" s="4">
        <v>1.1599999999999999E-2</v>
      </c>
      <c r="D6" s="4">
        <v>0</v>
      </c>
      <c r="E6" s="4">
        <f>-6.3*(1/100)</f>
        <v>-6.3E-2</v>
      </c>
      <c r="F6" s="4">
        <v>-7.0400000000000004E-2</v>
      </c>
      <c r="G6" s="4">
        <v>-5.7200000000000001E-2</v>
      </c>
      <c r="H6" s="4">
        <v>-4.87E-2</v>
      </c>
      <c r="I6" s="4">
        <v>-6.13E-2</v>
      </c>
    </row>
    <row r="7" spans="1:9" x14ac:dyDescent="0.3">
      <c r="A7" s="2">
        <v>43617</v>
      </c>
      <c r="B7" s="3">
        <v>1.6200000000000003E-2</v>
      </c>
      <c r="C7" s="4">
        <v>1.34E-2</v>
      </c>
      <c r="D7" s="4">
        <v>2.0000000000000001E-4</v>
      </c>
      <c r="E7" s="4">
        <f>6.29*(1/100)</f>
        <v>6.2899999999999998E-2</v>
      </c>
      <c r="F7" s="4">
        <v>4.7199999999999999E-2</v>
      </c>
      <c r="G7" s="4">
        <v>3.6200000000000003E-2</v>
      </c>
      <c r="H7" s="4">
        <v>3.5299999999999998E-2</v>
      </c>
      <c r="I7" s="4">
        <v>1.9900000000000001E-2</v>
      </c>
    </row>
    <row r="8" spans="1:9" x14ac:dyDescent="0.3">
      <c r="A8" s="2">
        <v>43647</v>
      </c>
      <c r="B8" s="3">
        <v>1.6550000000000002E-2</v>
      </c>
      <c r="C8" s="4">
        <v>6.1000000000000004E-3</v>
      </c>
      <c r="D8" s="4">
        <v>0</v>
      </c>
      <c r="E8" s="4">
        <f>1.52*(1/100)</f>
        <v>1.52E-2</v>
      </c>
      <c r="F8" s="4">
        <v>-2.4500000000000001E-2</v>
      </c>
      <c r="G8" s="4">
        <v>-2.7700000000000002E-2</v>
      </c>
      <c r="H8" s="4">
        <v>-4.1999999999999997E-3</v>
      </c>
      <c r="I8" s="4">
        <v>-2.4100000000000003E-2</v>
      </c>
    </row>
    <row r="9" spans="1:9" x14ac:dyDescent="0.3">
      <c r="A9" s="2">
        <v>43678</v>
      </c>
      <c r="B9" s="3">
        <v>1.7250000000000001E-2</v>
      </c>
      <c r="C9" s="4">
        <v>1.1000000000000001E-2</v>
      </c>
      <c r="D9" s="4">
        <v>0</v>
      </c>
      <c r="E9" s="4">
        <f>-1.66*(1/100)</f>
        <v>-1.66E-2</v>
      </c>
      <c r="F9" s="4">
        <v>-3.8100000000000002E-2</v>
      </c>
      <c r="G9" s="4">
        <v>-1.61E-2</v>
      </c>
      <c r="H9" s="4">
        <v>-7.9000000000000008E-3</v>
      </c>
      <c r="I9" s="4">
        <v>-3.7999999999999999E-2</v>
      </c>
    </row>
    <row r="10" spans="1:9" x14ac:dyDescent="0.3">
      <c r="A10" s="2">
        <v>43709</v>
      </c>
      <c r="B10" s="3">
        <v>1.6500000000000001E-2</v>
      </c>
      <c r="C10" s="4">
        <v>-6.0000000000000001E-3</v>
      </c>
      <c r="D10" s="4">
        <v>-2.0000000000000001E-4</v>
      </c>
      <c r="E10" s="4">
        <f>1.44*(1/100)</f>
        <v>1.44E-2</v>
      </c>
      <c r="F10" s="4">
        <v>1.5500000000000002E-2</v>
      </c>
      <c r="G10" s="4">
        <v>2.6000000000000002E-2</v>
      </c>
      <c r="H10" s="4">
        <v>5.2300000000000006E-2</v>
      </c>
      <c r="I10" s="4">
        <v>3.5900000000000001E-2</v>
      </c>
    </row>
    <row r="11" spans="1:9" x14ac:dyDescent="0.3">
      <c r="A11" s="2">
        <v>43739</v>
      </c>
      <c r="B11" s="3">
        <v>1.685E-2</v>
      </c>
      <c r="C11" s="4">
        <v>-2.8999999999999998E-3</v>
      </c>
      <c r="D11" s="4">
        <v>2.0000000000000001E-4</v>
      </c>
      <c r="E11" s="4">
        <f>2.16*(1/100)</f>
        <v>2.1600000000000001E-2</v>
      </c>
      <c r="F11" s="4">
        <v>4.3899999999999995E-2</v>
      </c>
      <c r="G11" s="4">
        <v>3.7999999999999999E-2</v>
      </c>
      <c r="H11" s="4">
        <v>3.4200000000000001E-2</v>
      </c>
      <c r="I11" s="4">
        <v>3.5000000000000003E-2</v>
      </c>
    </row>
    <row r="12" spans="1:9" x14ac:dyDescent="0.3">
      <c r="A12" s="2">
        <v>43770</v>
      </c>
      <c r="B12" s="3">
        <v>1.6500000000000001E-2</v>
      </c>
      <c r="C12" s="4">
        <v>-2.3E-3</v>
      </c>
      <c r="D12" s="4">
        <v>0</v>
      </c>
      <c r="E12" s="4">
        <f>3.64*(1/100)</f>
        <v>3.6400000000000002E-2</v>
      </c>
      <c r="F12" s="4">
        <v>0</v>
      </c>
      <c r="G12" s="4">
        <v>1.26E-2</v>
      </c>
      <c r="H12" s="4">
        <v>1.2800000000000001E-2</v>
      </c>
      <c r="I12" s="4">
        <v>1.23E-2</v>
      </c>
    </row>
    <row r="13" spans="1:9" x14ac:dyDescent="0.3">
      <c r="A13" s="2">
        <v>43800</v>
      </c>
      <c r="B13" s="3">
        <v>1.6449999999999999E-2</v>
      </c>
      <c r="C13" s="4">
        <v>-2E-3</v>
      </c>
      <c r="D13" s="4">
        <v>-2.0000000000000001E-4</v>
      </c>
      <c r="E13" s="4">
        <f>2.41*(1/100)</f>
        <v>2.4100000000000003E-2</v>
      </c>
      <c r="F13" s="4">
        <v>5.6399999999999999E-2</v>
      </c>
      <c r="G13" s="4">
        <v>3.7200000000000004E-2</v>
      </c>
      <c r="H13" s="4">
        <v>-3.2000000000000002E-3</v>
      </c>
      <c r="I13" s="4">
        <v>3.5499999999999997E-2</v>
      </c>
    </row>
    <row r="14" spans="1:9" x14ac:dyDescent="0.3">
      <c r="A14" s="2">
        <v>43831</v>
      </c>
      <c r="B14" s="3">
        <v>1.6400000000000001E-2</v>
      </c>
      <c r="C14" s="4">
        <v>1.67E-2</v>
      </c>
      <c r="D14" s="4">
        <v>0</v>
      </c>
      <c r="E14" s="4">
        <f>0*(1/100)</f>
        <v>0</v>
      </c>
      <c r="F14" s="4">
        <v>-5.9000000000000004E-2</v>
      </c>
      <c r="G14" s="4">
        <v>-3.0699999999999998E-2</v>
      </c>
      <c r="H14" s="4">
        <v>-2.52E-2</v>
      </c>
      <c r="I14" s="4">
        <v>-4.2800000000000005E-2</v>
      </c>
    </row>
    <row r="15" spans="1:9" x14ac:dyDescent="0.3">
      <c r="A15" s="2">
        <v>43862</v>
      </c>
      <c r="B15" s="3">
        <v>1.52E-2</v>
      </c>
      <c r="C15" s="4">
        <v>8.9999999999999998E-4</v>
      </c>
      <c r="D15" s="4">
        <v>2.0000000000000001E-4</v>
      </c>
      <c r="E15" s="4">
        <f>-8.46*(1/100)</f>
        <v>-8.4600000000000009E-2</v>
      </c>
      <c r="F15" s="4">
        <v>-3.7200000000000004E-2</v>
      </c>
      <c r="G15" s="4">
        <v>-8.0500000000000002E-2</v>
      </c>
      <c r="H15" s="4">
        <v>-8.2899999999999988E-2</v>
      </c>
      <c r="I15" s="4">
        <v>-0.1023</v>
      </c>
    </row>
    <row r="16" spans="1:9" x14ac:dyDescent="0.3">
      <c r="A16" s="2">
        <v>43891</v>
      </c>
      <c r="B16" s="3">
        <v>2.5000000000000001E-3</v>
      </c>
      <c r="C16" s="4">
        <v>-1.6899999999999998E-2</v>
      </c>
      <c r="D16" s="4">
        <v>0</v>
      </c>
      <c r="E16" s="4">
        <f>-12.68*(1/100)</f>
        <v>-0.1268</v>
      </c>
      <c r="F16" s="4">
        <v>-0.16920000000000002</v>
      </c>
      <c r="G16" s="4">
        <v>-0.16579999999999998</v>
      </c>
      <c r="H16" s="4">
        <v>-6.7400000000000002E-2</v>
      </c>
      <c r="I16" s="4">
        <v>-0.185</v>
      </c>
    </row>
    <row r="17" spans="1:9" x14ac:dyDescent="0.3">
      <c r="A17" s="2">
        <v>43922</v>
      </c>
      <c r="B17" s="3">
        <v>2E-3</v>
      </c>
      <c r="C17" s="4">
        <v>1.5900000000000001E-2</v>
      </c>
      <c r="D17" s="4">
        <v>0</v>
      </c>
      <c r="E17" s="4">
        <f>12.68*(1/100)</f>
        <v>0.1268</v>
      </c>
      <c r="F17" s="4">
        <v>7.8799999999999995E-2</v>
      </c>
      <c r="G17" s="4">
        <v>6.4200000000000007E-2</v>
      </c>
      <c r="H17" s="4">
        <v>4.8000000000000001E-2</v>
      </c>
      <c r="I17" s="4">
        <v>5.7400000000000007E-2</v>
      </c>
    </row>
    <row r="18" spans="1:9" x14ac:dyDescent="0.3">
      <c r="A18" s="2">
        <v>43952</v>
      </c>
      <c r="B18" s="3">
        <v>1.6300000000000002E-3</v>
      </c>
      <c r="C18" s="4">
        <v>8.9999999999999998E-4</v>
      </c>
      <c r="D18" s="4">
        <v>-2.0000000000000001E-4</v>
      </c>
      <c r="E18" s="4">
        <f>4.82*(1/100)</f>
        <v>4.8200000000000007E-2</v>
      </c>
      <c r="F18" s="4">
        <v>3.1600000000000003E-2</v>
      </c>
      <c r="G18" s="4">
        <v>5.8300000000000005E-2</v>
      </c>
      <c r="H18" s="4">
        <v>7.0499999999999993E-2</v>
      </c>
      <c r="I18" s="4">
        <v>1.9E-2</v>
      </c>
    </row>
    <row r="19" spans="1:9" x14ac:dyDescent="0.3">
      <c r="A19" s="2">
        <v>43983</v>
      </c>
      <c r="B19" s="3">
        <v>1.6000000000000001E-3</v>
      </c>
      <c r="C19" s="4">
        <v>7.9000000000000008E-3</v>
      </c>
      <c r="D19" s="4">
        <v>0</v>
      </c>
      <c r="E19" s="4">
        <f>1.48*(1/100)</f>
        <v>1.4800000000000001E-2</v>
      </c>
      <c r="F19" s="4">
        <v>5.6799999999999996E-2</v>
      </c>
      <c r="G19" s="4">
        <v>2.3900000000000001E-2</v>
      </c>
      <c r="H19" s="4">
        <v>-8.8000000000000005E-3</v>
      </c>
      <c r="I19" s="4">
        <v>1.1999999999999999E-3</v>
      </c>
    </row>
    <row r="20" spans="1:9" x14ac:dyDescent="0.3">
      <c r="A20" s="2">
        <v>44013</v>
      </c>
      <c r="B20" s="3">
        <v>1.8E-3</v>
      </c>
      <c r="C20" s="4">
        <v>6.9999999999999993E-3</v>
      </c>
      <c r="D20" s="4">
        <v>2.0000000000000001E-4</v>
      </c>
      <c r="E20" s="4">
        <f>5.85*(1/100)</f>
        <v>5.8499999999999996E-2</v>
      </c>
      <c r="F20" s="4">
        <v>8.6300000000000016E-2</v>
      </c>
      <c r="G20" s="4">
        <v>3.4100000000000005E-2</v>
      </c>
      <c r="H20" s="4">
        <v>-1.0700000000000001E-2</v>
      </c>
      <c r="I20" s="4">
        <v>6.6000000000000008E-3</v>
      </c>
    </row>
    <row r="21" spans="1:9" x14ac:dyDescent="0.3">
      <c r="A21" s="2">
        <v>44044</v>
      </c>
      <c r="B21" s="3">
        <v>1.6000000000000001E-3</v>
      </c>
      <c r="C21" s="4">
        <v>-1.43E-2</v>
      </c>
      <c r="D21" s="4">
        <v>-2.0000000000000001E-4</v>
      </c>
      <c r="E21" s="4">
        <f>7*(1/100)</f>
        <v>7.0000000000000007E-2</v>
      </c>
      <c r="F21" s="4">
        <v>3.0699999999999998E-2</v>
      </c>
      <c r="G21" s="4">
        <v>4.5499999999999999E-2</v>
      </c>
      <c r="H21" s="4">
        <v>6.7900000000000002E-2</v>
      </c>
      <c r="I21" s="4">
        <v>2.7400000000000004E-2</v>
      </c>
    </row>
    <row r="22" spans="1:9" x14ac:dyDescent="0.3">
      <c r="A22" s="2">
        <v>44075</v>
      </c>
      <c r="B22" s="3">
        <v>1.8E-3</v>
      </c>
      <c r="C22" s="4">
        <v>3.5999999999999999E-3</v>
      </c>
      <c r="D22" s="4">
        <v>0</v>
      </c>
      <c r="E22" s="4">
        <f>-4.19*(1/100)</f>
        <v>-4.1900000000000007E-2</v>
      </c>
      <c r="F22" s="4">
        <v>-9.4000000000000004E-3</v>
      </c>
      <c r="G22" s="4">
        <v>-3.2899999999999999E-2</v>
      </c>
      <c r="H22" s="4">
        <v>1.8100000000000002E-2</v>
      </c>
      <c r="I22" s="4">
        <v>-4.3200000000000002E-2</v>
      </c>
    </row>
    <row r="23" spans="1:9" x14ac:dyDescent="0.3">
      <c r="A23" s="2">
        <v>44105</v>
      </c>
      <c r="B23" s="3">
        <v>9.5E-4</v>
      </c>
      <c r="C23" s="4">
        <v>-2.0000000000000001E-4</v>
      </c>
      <c r="D23" s="4">
        <v>0</v>
      </c>
      <c r="E23" s="4">
        <f>-2.51*(1/100)</f>
        <v>-2.5099999999999997E-2</v>
      </c>
      <c r="F23" s="4">
        <v>1.2700000000000001E-2</v>
      </c>
      <c r="G23" s="4">
        <v>-5.1700000000000003E-2</v>
      </c>
      <c r="H23" s="4">
        <v>-1.41E-2</v>
      </c>
      <c r="I23" s="4">
        <v>-4.5100000000000001E-2</v>
      </c>
    </row>
    <row r="24" spans="1:9" x14ac:dyDescent="0.3">
      <c r="A24" s="2">
        <v>44136</v>
      </c>
      <c r="B24" s="3">
        <v>9.5E-4</v>
      </c>
      <c r="C24" s="4">
        <v>5.0000000000000001E-3</v>
      </c>
      <c r="D24" s="4">
        <v>0</v>
      </c>
      <c r="E24" s="4">
        <f>10.9*(1/100)</f>
        <v>0.109</v>
      </c>
      <c r="F24" s="4">
        <v>9.6300000000000011E-2</v>
      </c>
      <c r="G24" s="4">
        <v>0.16390000000000002</v>
      </c>
      <c r="H24" s="4">
        <v>0.10560000000000001</v>
      </c>
      <c r="I24" s="4">
        <v>0.16109999999999999</v>
      </c>
    </row>
    <row r="25" spans="1:9" x14ac:dyDescent="0.3">
      <c r="A25" s="2">
        <v>44166</v>
      </c>
      <c r="B25" s="3">
        <v>5.5000000000000003E-4</v>
      </c>
      <c r="C25" s="4">
        <v>1.3000000000000002E-3</v>
      </c>
      <c r="D25" s="4">
        <v>0</v>
      </c>
      <c r="E25" s="4">
        <f>3.32*(1/100)</f>
        <v>3.32E-2</v>
      </c>
      <c r="F25" s="4">
        <v>5.8300000000000005E-2</v>
      </c>
      <c r="G25" s="4">
        <v>3.9100000000000003E-2</v>
      </c>
      <c r="H25" s="4">
        <v>4.9200000000000001E-2</v>
      </c>
      <c r="I25" s="4">
        <v>3.6400000000000002E-2</v>
      </c>
    </row>
    <row r="26" spans="1:9" x14ac:dyDescent="0.3">
      <c r="A26" s="2">
        <v>44197</v>
      </c>
      <c r="B26" s="3">
        <v>7.000000000000001E-4</v>
      </c>
      <c r="C26" s="4">
        <v>-4.0999999999999995E-3</v>
      </c>
      <c r="D26" s="4">
        <v>2.0000000000000001E-4</v>
      </c>
      <c r="E26" s="4">
        <f>-1.03*(1/100)</f>
        <v>-1.03E-2</v>
      </c>
      <c r="F26" s="4">
        <v>2.8900000000000002E-2</v>
      </c>
      <c r="G26" s="4">
        <v>-9.5999999999999992E-3</v>
      </c>
      <c r="H26" s="4">
        <v>-8.3999999999999995E-3</v>
      </c>
      <c r="I26" s="4">
        <v>-2.3999999999999998E-3</v>
      </c>
    </row>
    <row r="27" spans="1:9" x14ac:dyDescent="0.3">
      <c r="A27" s="2">
        <v>44228</v>
      </c>
      <c r="B27" s="3">
        <v>1.3000000000000002E-3</v>
      </c>
      <c r="C27" s="4">
        <v>-2.3400000000000001E-2</v>
      </c>
      <c r="D27" s="4">
        <v>-2.0000000000000001E-4</v>
      </c>
      <c r="E27" s="4">
        <f>2.76*(1/100)</f>
        <v>2.76E-2</v>
      </c>
      <c r="F27" s="4">
        <v>1.41E-2</v>
      </c>
      <c r="G27" s="4">
        <v>2.8399999999999998E-2</v>
      </c>
      <c r="H27" s="4">
        <v>1.84E-2</v>
      </c>
      <c r="I27" s="4">
        <v>3.9399999999999998E-2</v>
      </c>
    </row>
    <row r="28" spans="1:9" x14ac:dyDescent="0.3">
      <c r="A28" s="2">
        <v>44256</v>
      </c>
      <c r="B28" s="3">
        <v>7.000000000000001E-4</v>
      </c>
      <c r="C28" s="4">
        <v>-2.0999999999999999E-3</v>
      </c>
      <c r="D28" s="4">
        <v>2.0000000000000001E-4</v>
      </c>
      <c r="E28" s="4">
        <f>4.2*(1/100)</f>
        <v>4.2000000000000003E-2</v>
      </c>
      <c r="F28" s="4">
        <v>-5.6999999999999993E-3</v>
      </c>
      <c r="G28" s="4">
        <v>3.3300000000000003E-2</v>
      </c>
      <c r="H28" s="4">
        <v>4.4000000000000003E-3</v>
      </c>
      <c r="I28" s="4">
        <v>3.1000000000000003E-2</v>
      </c>
    </row>
    <row r="29" spans="1:9" x14ac:dyDescent="0.3">
      <c r="A29" s="2">
        <v>44287</v>
      </c>
      <c r="B29" s="3">
        <v>7.5000000000000002E-4</v>
      </c>
      <c r="C29" s="4">
        <v>1.9E-3</v>
      </c>
      <c r="D29" s="4">
        <v>0</v>
      </c>
      <c r="E29" s="4">
        <f>5.29*(1/100)</f>
        <v>5.2900000000000003E-2</v>
      </c>
      <c r="F29" s="4">
        <v>1.72E-2</v>
      </c>
      <c r="G29" s="4">
        <v>4.8200000000000007E-2</v>
      </c>
      <c r="H29" s="4">
        <v>-1.61E-2</v>
      </c>
      <c r="I29" s="4">
        <v>3.9E-2</v>
      </c>
    </row>
    <row r="30" spans="1:9" x14ac:dyDescent="0.3">
      <c r="A30" s="2">
        <v>44317</v>
      </c>
      <c r="B30" s="3">
        <v>8.5000000000000006E-4</v>
      </c>
      <c r="C30" s="4">
        <v>2.2000000000000001E-3</v>
      </c>
      <c r="D30" s="4">
        <v>-2.0000000000000001E-4</v>
      </c>
      <c r="E30" s="4">
        <f>0.66*(1/100)</f>
        <v>6.6000000000000008E-3</v>
      </c>
      <c r="F30" s="4">
        <v>1.8000000000000002E-2</v>
      </c>
      <c r="G30" s="4">
        <v>4.3099999999999999E-2</v>
      </c>
      <c r="H30" s="4">
        <v>1.72E-2</v>
      </c>
      <c r="I30" s="4">
        <v>3.8700000000000005E-2</v>
      </c>
    </row>
    <row r="31" spans="1:9" x14ac:dyDescent="0.3">
      <c r="A31" s="2">
        <v>44348</v>
      </c>
      <c r="B31" s="3">
        <v>1.4000000000000002E-3</v>
      </c>
      <c r="C31" s="4">
        <v>6.1000000000000004E-3</v>
      </c>
      <c r="D31" s="4">
        <v>0</v>
      </c>
      <c r="E31" s="4">
        <f>1.96*(1/100)</f>
        <v>1.9599999999999999E-2</v>
      </c>
      <c r="F31" s="4">
        <v>5.1000000000000004E-3</v>
      </c>
      <c r="G31" s="4">
        <v>-2.9300000000000003E-2</v>
      </c>
      <c r="H31" s="4">
        <v>-1.52E-2</v>
      </c>
      <c r="I31" s="4">
        <v>-3.2300000000000002E-2</v>
      </c>
    </row>
    <row r="32" spans="1:9" x14ac:dyDescent="0.3">
      <c r="A32" s="2">
        <v>44378</v>
      </c>
      <c r="B32" s="3">
        <v>1.5E-3</v>
      </c>
      <c r="C32" s="4">
        <v>1.0900000000000002E-2</v>
      </c>
      <c r="D32" s="4">
        <v>0</v>
      </c>
      <c r="E32" s="4">
        <f>2.44*(1/100)</f>
        <v>2.4400000000000002E-2</v>
      </c>
      <c r="F32" s="4">
        <v>-5.6399999999999999E-2</v>
      </c>
      <c r="G32" s="4">
        <v>1.7299999999999999E-2</v>
      </c>
      <c r="H32" s="4">
        <v>-6.4000000000000003E-3</v>
      </c>
      <c r="I32" s="4">
        <v>2.8000000000000004E-3</v>
      </c>
    </row>
    <row r="33" spans="1:9" x14ac:dyDescent="0.3">
      <c r="A33" s="2">
        <v>44409</v>
      </c>
      <c r="B33" s="3">
        <v>2.0999999999999999E-3</v>
      </c>
      <c r="C33" s="4">
        <v>-8.3000000000000001E-3</v>
      </c>
      <c r="D33" s="4">
        <v>2.0000000000000001E-4</v>
      </c>
      <c r="E33" s="4">
        <f>3.02*(1/100)</f>
        <v>3.0200000000000001E-2</v>
      </c>
      <c r="F33" s="4">
        <v>1.3899999999999999E-2</v>
      </c>
      <c r="G33" s="4">
        <v>1.77E-2</v>
      </c>
      <c r="H33" s="4">
        <v>1.9199999999999998E-2</v>
      </c>
      <c r="I33" s="4">
        <v>6.7000000000000002E-3</v>
      </c>
    </row>
    <row r="34" spans="1:9" x14ac:dyDescent="0.3">
      <c r="A34" s="2">
        <v>44440</v>
      </c>
      <c r="B34" s="3">
        <v>1.9E-3</v>
      </c>
      <c r="C34" s="4">
        <v>-1.0400000000000001E-2</v>
      </c>
      <c r="D34" s="4">
        <v>-2.0000000000000001E-4</v>
      </c>
      <c r="E34" s="4">
        <f>-5.05*(1/100)</f>
        <v>-5.0499999999999996E-2</v>
      </c>
      <c r="F34" s="4">
        <v>-3.6400000000000002E-2</v>
      </c>
      <c r="G34" s="4">
        <v>-5.4600000000000003E-2</v>
      </c>
      <c r="H34" s="4">
        <v>2.7000000000000003E-2</v>
      </c>
      <c r="I34" s="4">
        <v>-2.3E-2</v>
      </c>
    </row>
    <row r="35" spans="1:9" x14ac:dyDescent="0.3">
      <c r="A35" s="2">
        <v>44470</v>
      </c>
      <c r="B35" s="3">
        <v>1.6500000000000002E-3</v>
      </c>
      <c r="C35" s="4">
        <v>-1.6000000000000001E-3</v>
      </c>
      <c r="D35" s="4">
        <v>0</v>
      </c>
      <c r="E35" s="4">
        <f>7*(1/100)</f>
        <v>7.0000000000000007E-2</v>
      </c>
      <c r="F35" s="4">
        <v>1.0800000000000001E-2</v>
      </c>
      <c r="G35" s="4">
        <v>5.0300000000000004E-2</v>
      </c>
      <c r="H35" s="4">
        <v>-2.63E-2</v>
      </c>
      <c r="I35" s="4">
        <v>4.4299999999999999E-2</v>
      </c>
    </row>
    <row r="36" spans="1:9" x14ac:dyDescent="0.3">
      <c r="A36" s="2">
        <v>44501</v>
      </c>
      <c r="B36" s="3">
        <v>5.9999999999999995E-4</v>
      </c>
      <c r="C36" s="4">
        <v>6.8999999999999999E-3</v>
      </c>
      <c r="D36" s="4">
        <v>0</v>
      </c>
      <c r="E36" s="4">
        <f>-0.73*(1/100)</f>
        <v>-7.3000000000000001E-3</v>
      </c>
      <c r="F36" s="4">
        <v>-3.7000000000000005E-2</v>
      </c>
      <c r="G36" s="4">
        <v>-4.6900000000000004E-2</v>
      </c>
      <c r="H36" s="4">
        <v>-3.0299999999999997E-2</v>
      </c>
      <c r="I36" s="4">
        <v>-4.87E-2</v>
      </c>
    </row>
    <row r="37" spans="1:9" x14ac:dyDescent="0.3">
      <c r="A37" s="2">
        <v>44531</v>
      </c>
      <c r="B37" s="3">
        <v>7.000000000000001E-4</v>
      </c>
      <c r="C37" s="4">
        <v>-5.1000000000000004E-3</v>
      </c>
      <c r="D37" s="4">
        <v>0</v>
      </c>
      <c r="E37" s="4">
        <f>4.23*(1/100)</f>
        <v>4.2300000000000004E-2</v>
      </c>
      <c r="F37" s="4">
        <v>-4.3E-3</v>
      </c>
      <c r="G37" s="4">
        <v>3.6400000000000002E-2</v>
      </c>
      <c r="H37" s="4">
        <v>9.4999999999999998E-3</v>
      </c>
      <c r="I37" s="4">
        <v>3.4300000000000004E-2</v>
      </c>
    </row>
    <row r="38" spans="1:9" x14ac:dyDescent="0.3">
      <c r="A38" s="2">
        <v>44562</v>
      </c>
      <c r="B38" s="3">
        <v>1.7000000000000001E-3</v>
      </c>
      <c r="C38" s="4">
        <v>-1.54E-2</v>
      </c>
      <c r="D38" s="4">
        <v>0</v>
      </c>
      <c r="E38" s="4">
        <f>-5.29*(1/100)</f>
        <v>-5.2900000000000003E-2</v>
      </c>
      <c r="F38" s="4">
        <v>-4.7000000000000002E-3</v>
      </c>
      <c r="G38" s="4">
        <v>-3.4700000000000002E-2</v>
      </c>
      <c r="H38" s="4">
        <v>-4.2999999999999997E-2</v>
      </c>
      <c r="I38" s="4">
        <v>2.2599999999999999E-2</v>
      </c>
    </row>
    <row r="39" spans="1:9" x14ac:dyDescent="0.3">
      <c r="A39" s="2">
        <v>44593</v>
      </c>
      <c r="B39" s="3">
        <v>2E-3</v>
      </c>
      <c r="C39" s="4">
        <v>-1.95E-2</v>
      </c>
      <c r="D39" s="4">
        <v>0</v>
      </c>
      <c r="E39" s="4">
        <f>-2.89*(1/100)</f>
        <v>-2.8900000000000002E-2</v>
      </c>
      <c r="F39" s="4">
        <v>-3.9399999999999998E-2</v>
      </c>
      <c r="G39" s="4">
        <v>-5.2400000000000002E-2</v>
      </c>
      <c r="H39" s="4">
        <v>-1.78E-2</v>
      </c>
      <c r="I39" s="4">
        <v>-1.18E-2</v>
      </c>
    </row>
    <row r="40" spans="1:9" x14ac:dyDescent="0.3">
      <c r="A40" s="2">
        <v>44621</v>
      </c>
      <c r="B40" s="3">
        <v>3.5999999999999999E-3</v>
      </c>
      <c r="C40" s="4">
        <v>-1.9599999999999999E-2</v>
      </c>
      <c r="D40" s="4">
        <v>0</v>
      </c>
      <c r="E40" s="4">
        <f>3.41*(1/100)</f>
        <v>3.4100000000000005E-2</v>
      </c>
      <c r="F40" s="4">
        <v>-2.9399999999999999E-2</v>
      </c>
      <c r="G40" s="4">
        <v>3.8E-3</v>
      </c>
      <c r="H40" s="4">
        <v>-2.1100000000000001E-2</v>
      </c>
      <c r="I40" s="4">
        <v>4.5000000000000005E-3</v>
      </c>
    </row>
    <row r="41" spans="1:9" x14ac:dyDescent="0.3">
      <c r="A41" s="2">
        <v>44652</v>
      </c>
      <c r="B41" s="3">
        <v>8.6E-3</v>
      </c>
      <c r="C41" s="4">
        <v>-2.9700000000000004E-2</v>
      </c>
      <c r="D41" s="4">
        <v>2.0000000000000001E-4</v>
      </c>
      <c r="E41" s="4">
        <f>-8.85*(1/100)</f>
        <v>-8.8499999999999995E-2</v>
      </c>
      <c r="F41" s="4">
        <v>-5.9400000000000008E-2</v>
      </c>
      <c r="G41" s="4">
        <v>-6.4200000000000007E-2</v>
      </c>
      <c r="H41" s="4">
        <v>-8.1000000000000003E-2</v>
      </c>
      <c r="I41" s="4">
        <v>-3.9800000000000002E-2</v>
      </c>
    </row>
    <row r="42" spans="1:9" x14ac:dyDescent="0.3">
      <c r="A42" s="2">
        <v>44682</v>
      </c>
      <c r="B42" s="3">
        <v>9.5999999999999992E-3</v>
      </c>
      <c r="C42" s="4">
        <v>-2E-3</v>
      </c>
      <c r="D42" s="4">
        <v>-2.0000000000000001E-4</v>
      </c>
      <c r="E42" s="4">
        <f>0.32*(1/100)</f>
        <v>3.2000000000000002E-3</v>
      </c>
      <c r="F42" s="4">
        <v>6.1000000000000004E-3</v>
      </c>
      <c r="G42" s="4">
        <v>2.1800000000000003E-2</v>
      </c>
      <c r="H42" s="4">
        <v>1.7299999999999999E-2</v>
      </c>
      <c r="I42" s="4">
        <v>2.69E-2</v>
      </c>
    </row>
    <row r="43" spans="1:9" x14ac:dyDescent="0.3">
      <c r="A43" s="2">
        <v>44713</v>
      </c>
      <c r="B43" s="3">
        <v>1.4000000000000002E-2</v>
      </c>
      <c r="C43" s="4">
        <v>-1.6E-2</v>
      </c>
      <c r="D43" s="4">
        <v>0</v>
      </c>
      <c r="E43" s="4">
        <f>-8.61*(1/100)</f>
        <v>-8.6099999999999996E-2</v>
      </c>
      <c r="F43" s="4">
        <v>-6.6799999999999998E-2</v>
      </c>
      <c r="G43" s="4">
        <v>-0.1195</v>
      </c>
      <c r="H43" s="4">
        <v>-8.2799999999999999E-2</v>
      </c>
      <c r="I43" s="4">
        <v>-9.6799999999999997E-2</v>
      </c>
    </row>
    <row r="44" spans="1:9" x14ac:dyDescent="0.3">
      <c r="A44" s="2">
        <v>44743</v>
      </c>
      <c r="B44" s="3">
        <v>3.1670000000000004E-2</v>
      </c>
      <c r="C44" s="4">
        <v>2.6499999999999999E-2</v>
      </c>
      <c r="D44" s="4">
        <v>2.0000000000000001E-4</v>
      </c>
      <c r="E44" s="4">
        <f>9.27*(1/100)</f>
        <v>9.2699999999999991E-2</v>
      </c>
      <c r="F44" s="4">
        <v>0</v>
      </c>
      <c r="G44" s="4">
        <v>5.16E-2</v>
      </c>
      <c r="H44" s="4">
        <v>6.2800000000000009E-2</v>
      </c>
      <c r="I44" s="4">
        <v>3.1699999999999999E-2</v>
      </c>
    </row>
    <row r="45" spans="1:9" x14ac:dyDescent="0.3">
      <c r="A45" s="2">
        <v>44774</v>
      </c>
      <c r="B45" s="3">
        <v>2.6700000000000002E-2</v>
      </c>
      <c r="C45" s="4">
        <v>-3.5299999999999998E-2</v>
      </c>
      <c r="D45" s="4">
        <v>0</v>
      </c>
      <c r="E45" s="4">
        <f>-4.13*(1/100)</f>
        <v>-4.1299999999999996E-2</v>
      </c>
      <c r="F45" s="4">
        <v>-1.2200000000000001E-2</v>
      </c>
      <c r="G45" s="4">
        <v>-7.51E-2</v>
      </c>
      <c r="H45" s="4">
        <v>-4.5599999999999995E-2</v>
      </c>
      <c r="I45" s="4">
        <v>-6.4699999999999994E-2</v>
      </c>
    </row>
    <row r="46" spans="1:9" x14ac:dyDescent="0.3">
      <c r="A46" s="2">
        <v>44805</v>
      </c>
      <c r="B46" s="3">
        <v>3.0800000000000001E-2</v>
      </c>
      <c r="C46" s="4">
        <v>-3.4000000000000002E-2</v>
      </c>
      <c r="D46" s="4">
        <v>2.0000000000000001E-4</v>
      </c>
      <c r="E46" s="4">
        <f>-9.7*(1/100)</f>
        <v>-9.6999999999999989E-2</v>
      </c>
      <c r="F46" s="4">
        <v>-0.11310000000000001</v>
      </c>
      <c r="G46" s="4">
        <v>-9.5799999999999996E-2</v>
      </c>
      <c r="H46" s="4">
        <v>-8.8400000000000006E-2</v>
      </c>
      <c r="I46" s="4">
        <v>-9.3399999999999997E-2</v>
      </c>
    </row>
    <row r="47" spans="1:9" x14ac:dyDescent="0.3">
      <c r="A47" s="2">
        <v>44835</v>
      </c>
      <c r="B47" s="3">
        <v>3.6000000000000004E-2</v>
      </c>
      <c r="C47" s="4">
        <v>-5.6999999999999993E-3</v>
      </c>
      <c r="D47" s="4">
        <v>0</v>
      </c>
      <c r="E47" s="4">
        <f>8.12*(1/100)</f>
        <v>8.1199999999999994E-2</v>
      </c>
      <c r="F47" s="4">
        <v>-1.47E-2</v>
      </c>
      <c r="G47" s="4">
        <v>8.4700000000000011E-2</v>
      </c>
      <c r="H47" s="4">
        <v>2.3300000000000001E-2</v>
      </c>
      <c r="I47" s="4">
        <v>6.9800000000000001E-2</v>
      </c>
    </row>
    <row r="48" spans="1:9" x14ac:dyDescent="0.3">
      <c r="A48" s="2">
        <v>44866</v>
      </c>
      <c r="B48" s="3">
        <v>3.7000000000000005E-2</v>
      </c>
      <c r="C48" s="4">
        <v>2.0499999999999997E-2</v>
      </c>
      <c r="D48" s="4">
        <v>4.0000000000000002E-4</v>
      </c>
      <c r="E48" s="4">
        <f>5.55*(1/100)</f>
        <v>5.5500000000000001E-2</v>
      </c>
      <c r="F48" s="4">
        <v>0.14660000000000001</v>
      </c>
      <c r="G48" s="4">
        <v>0.13220000000000001</v>
      </c>
      <c r="H48" s="4">
        <v>0.1162</v>
      </c>
      <c r="I48" s="4">
        <v>0.1245</v>
      </c>
    </row>
    <row r="49" spans="1:9" x14ac:dyDescent="0.3">
      <c r="A49" s="2">
        <v>44896</v>
      </c>
      <c r="B49" s="3">
        <v>4.1799999999999997E-2</v>
      </c>
      <c r="C49" s="4">
        <v>-8.8999999999999999E-3</v>
      </c>
      <c r="D49" s="4">
        <v>0</v>
      </c>
      <c r="E49" s="4">
        <f>-6.13*(1/100)</f>
        <v>-6.13E-2</v>
      </c>
      <c r="F49" s="4">
        <v>-3.8300000000000001E-2</v>
      </c>
      <c r="G49" s="4">
        <v>-2.1800000000000003E-2</v>
      </c>
      <c r="H49" s="4">
        <v>-2.4400000000000002E-2</v>
      </c>
      <c r="I49" s="4">
        <v>-2.76E-2</v>
      </c>
    </row>
    <row r="50" spans="1:9" x14ac:dyDescent="0.3">
      <c r="A50" s="2">
        <v>44927</v>
      </c>
      <c r="B50" s="3">
        <v>4.4200000000000003E-2</v>
      </c>
      <c r="C50" s="4">
        <v>2.01E-2</v>
      </c>
      <c r="D50" s="4">
        <v>-1E-4</v>
      </c>
      <c r="E50" s="4">
        <f>6.27*(1/100)</f>
        <v>6.2699999999999992E-2</v>
      </c>
      <c r="F50" s="4">
        <v>8.9300000000000004E-2</v>
      </c>
      <c r="G50" s="4">
        <v>9.4299999999999995E-2</v>
      </c>
      <c r="H50" s="4">
        <v>7.7699999999999991E-2</v>
      </c>
      <c r="I50" s="4">
        <v>6.2300000000000008E-2</v>
      </c>
    </row>
    <row r="51" spans="1:9" x14ac:dyDescent="0.3">
      <c r="A51" s="2">
        <v>44958</v>
      </c>
      <c r="B51" s="3">
        <v>4.4699999999999997E-2</v>
      </c>
      <c r="C51" s="4">
        <v>-2.6499999999999999E-2</v>
      </c>
      <c r="D51" s="4">
        <v>1E-4</v>
      </c>
      <c r="E51" s="4">
        <f>-2.53*(1/100)</f>
        <v>-2.53E-2</v>
      </c>
      <c r="F51" s="4">
        <v>-6.9199999999999998E-2</v>
      </c>
      <c r="G51" s="4">
        <v>-1.46E-2</v>
      </c>
      <c r="H51" s="4">
        <v>-4.6500000000000007E-2</v>
      </c>
      <c r="I51" s="4">
        <v>-8.8999999999999999E-3</v>
      </c>
    </row>
    <row r="52" spans="1:9" x14ac:dyDescent="0.3">
      <c r="A52" s="2">
        <v>44986</v>
      </c>
      <c r="B52" s="3">
        <v>4.3299999999999998E-2</v>
      </c>
      <c r="C52" s="4">
        <v>2.1800000000000003E-2</v>
      </c>
      <c r="D52" s="4">
        <v>5.9999999999999995E-4</v>
      </c>
      <c r="E52" s="4">
        <f>3.29*(1/100)</f>
        <v>3.2899999999999999E-2</v>
      </c>
      <c r="F52" s="4">
        <v>3.04E-2</v>
      </c>
      <c r="G52" s="4">
        <v>2.2599999999999999E-2</v>
      </c>
      <c r="H52" s="4">
        <v>4.9200000000000001E-2</v>
      </c>
      <c r="I52" s="4">
        <v>-5.9999999999999995E-4</v>
      </c>
    </row>
    <row r="53" spans="1:9" x14ac:dyDescent="0.3">
      <c r="A53" s="2">
        <v>45017</v>
      </c>
      <c r="B53" s="3">
        <v>4.2999999999999997E-2</v>
      </c>
      <c r="C53" s="4">
        <v>4.7999999999999996E-3</v>
      </c>
      <c r="D53" s="4">
        <v>-8.0000000000000004E-4</v>
      </c>
      <c r="E53" s="4">
        <f>1.6*(1/100)</f>
        <v>1.6E-2</v>
      </c>
      <c r="F53" s="4">
        <v>-4.3E-3</v>
      </c>
      <c r="G53" s="4">
        <v>4.1600000000000005E-2</v>
      </c>
      <c r="H53" s="4">
        <v>2.6000000000000003E-3</v>
      </c>
      <c r="I53" s="4">
        <v>5.1799999999999999E-2</v>
      </c>
    </row>
    <row r="54" spans="1:9" x14ac:dyDescent="0.3">
      <c r="A54" s="2">
        <v>45047</v>
      </c>
      <c r="B54" s="3">
        <v>4.5499999999999999E-2</v>
      </c>
      <c r="C54" s="4">
        <v>-6.1999999999999998E-3</v>
      </c>
      <c r="D54" s="4">
        <v>2.0000000000000001E-4</v>
      </c>
      <c r="E54" s="4">
        <f>0.42*(1/100)</f>
        <v>4.1999999999999997E-3</v>
      </c>
      <c r="F54" s="4">
        <v>-2.06E-2</v>
      </c>
      <c r="G54" s="4">
        <v>-5.4100000000000002E-2</v>
      </c>
      <c r="H54" s="4">
        <v>8.5000000000000006E-3</v>
      </c>
      <c r="I54" s="4">
        <v>-5.9800000000000006E-2</v>
      </c>
    </row>
    <row r="55" spans="1:9" x14ac:dyDescent="0.3">
      <c r="A55" s="2">
        <v>45078</v>
      </c>
      <c r="B55" s="3">
        <v>4.6500000000000007E-2</v>
      </c>
      <c r="C55" s="4">
        <v>0</v>
      </c>
      <c r="D55" s="4">
        <v>-2.0000000000000001E-4</v>
      </c>
      <c r="E55" s="4">
        <f>6.27*(1/100)</f>
        <v>6.2699999999999992E-2</v>
      </c>
      <c r="F55" s="4">
        <v>3.5900000000000001E-2</v>
      </c>
      <c r="G55" s="4">
        <v>1.9800000000000002E-2</v>
      </c>
      <c r="H55" s="4">
        <v>4.3099999999999999E-2</v>
      </c>
      <c r="I55" s="4">
        <v>1.41E-2</v>
      </c>
    </row>
    <row r="56" spans="1:9" x14ac:dyDescent="0.3">
      <c r="A56" s="2">
        <v>45108</v>
      </c>
      <c r="B56" s="3">
        <v>4.9500000000000002E-2</v>
      </c>
      <c r="C56" s="4">
        <v>-2.0000000000000001E-4</v>
      </c>
      <c r="D56" s="4">
        <v>0</v>
      </c>
      <c r="E56" s="4">
        <f>3.25*(1/100)</f>
        <v>3.2500000000000001E-2</v>
      </c>
      <c r="F56" s="4">
        <v>5.96E-2</v>
      </c>
      <c r="G56" s="4">
        <v>2.7000000000000003E-2</v>
      </c>
      <c r="H56" s="4">
        <v>2.46E-2</v>
      </c>
      <c r="I56" s="4">
        <v>2.9399999999999999E-2</v>
      </c>
    </row>
    <row r="57" spans="1:9" x14ac:dyDescent="0.3">
      <c r="A57" s="2">
        <v>45139</v>
      </c>
      <c r="B57" s="3">
        <v>0.05</v>
      </c>
      <c r="C57" s="4">
        <v>-1.2E-2</v>
      </c>
      <c r="D57" s="4">
        <v>-2.0000000000000001E-4</v>
      </c>
      <c r="E57" s="4">
        <f>-1.63*(1/100)</f>
        <v>-1.6299999999999999E-2</v>
      </c>
      <c r="F57" s="4">
        <v>-6.0700000000000004E-2</v>
      </c>
      <c r="G57" s="4">
        <v>-3.8900000000000004E-2</v>
      </c>
      <c r="H57" s="4">
        <v>-2.81E-2</v>
      </c>
      <c r="I57" s="4">
        <v>-3.9E-2</v>
      </c>
    </row>
    <row r="58" spans="1:9" x14ac:dyDescent="0.3">
      <c r="A58" s="2">
        <v>45170</v>
      </c>
      <c r="B58" s="3">
        <v>4.9500000000000002E-2</v>
      </c>
      <c r="C58" s="4">
        <v>-1.83E-2</v>
      </c>
      <c r="D58" s="4">
        <v>5.9999999999999995E-4</v>
      </c>
      <c r="E58" s="4">
        <f>-5.14*(1/100)</f>
        <v>-5.1400000000000001E-2</v>
      </c>
      <c r="F58" s="4">
        <v>-0.03</v>
      </c>
      <c r="G58" s="4">
        <v>-4.41E-2</v>
      </c>
      <c r="H58" s="4">
        <v>-2.1899999999999999E-2</v>
      </c>
      <c r="I58" s="4">
        <v>-1.1299999999999999E-2</v>
      </c>
    </row>
    <row r="59" spans="1:9" x14ac:dyDescent="0.3">
      <c r="A59" s="2">
        <v>45200</v>
      </c>
      <c r="B59" s="3">
        <v>4.99E-2</v>
      </c>
      <c r="C59" s="4">
        <v>-8.1000000000000013E-3</v>
      </c>
      <c r="D59" s="4">
        <v>0</v>
      </c>
      <c r="E59" s="4">
        <f>-2.21*(1/100)</f>
        <v>-2.2100000000000002E-2</v>
      </c>
      <c r="F59" s="4">
        <v>-3.4700000000000002E-2</v>
      </c>
      <c r="G59" s="4">
        <v>-3.2400000000000005E-2</v>
      </c>
      <c r="H59" s="4">
        <v>-2.2100000000000002E-2</v>
      </c>
      <c r="I59" s="4">
        <v>-3.6000000000000004E-2</v>
      </c>
    </row>
    <row r="60" spans="1:9" x14ac:dyDescent="0.3">
      <c r="A60" s="2">
        <v>45231</v>
      </c>
      <c r="B60" s="3">
        <v>5.0200000000000009E-2</v>
      </c>
      <c r="C60" s="4">
        <v>3.32E-2</v>
      </c>
      <c r="D60" s="4">
        <v>4.0000000000000002E-4</v>
      </c>
      <c r="E60" s="4">
        <f>9.16*(1/100)</f>
        <v>9.1600000000000001E-2</v>
      </c>
      <c r="F60" s="4">
        <v>8.0799999999999997E-2</v>
      </c>
      <c r="G60" s="4">
        <v>9.6999999999999989E-2</v>
      </c>
      <c r="H60" s="4">
        <v>6.1900000000000004E-2</v>
      </c>
      <c r="I60" s="4">
        <v>6.2000000000000006E-2</v>
      </c>
    </row>
    <row r="61" spans="1:9" x14ac:dyDescent="0.3">
      <c r="A61" s="2">
        <v>45261</v>
      </c>
      <c r="B61" s="3">
        <v>5.04E-2</v>
      </c>
      <c r="C61" s="4">
        <v>2.98E-2</v>
      </c>
      <c r="D61" s="4">
        <v>-1E-3</v>
      </c>
      <c r="E61" s="4">
        <f>4.19*(1/100)</f>
        <v>4.1900000000000007E-2</v>
      </c>
      <c r="F61" s="4">
        <v>1.8700000000000001E-2</v>
      </c>
      <c r="G61" s="4">
        <v>4.3799999999999999E-2</v>
      </c>
      <c r="H61" s="4">
        <v>2.4400000000000002E-2</v>
      </c>
      <c r="I61" s="4">
        <v>2.0400000000000001E-2</v>
      </c>
    </row>
    <row r="62" spans="1:9" x14ac:dyDescent="0.3">
      <c r="A62" s="2">
        <v>45292</v>
      </c>
      <c r="B62" s="3">
        <v>5.015E-2</v>
      </c>
      <c r="C62" s="4">
        <v>-2.5000000000000001E-3</v>
      </c>
      <c r="D62" s="4">
        <v>4.0000000000000002E-4</v>
      </c>
      <c r="E62" s="4">
        <f>1.58*(1/100)</f>
        <v>1.5800000000000002E-2</v>
      </c>
      <c r="F62" s="4">
        <v>-4.2099999999999999E-2</v>
      </c>
      <c r="G62" s="4">
        <v>-9.7999999999999997E-3</v>
      </c>
      <c r="H62" s="4">
        <v>3.2300000000000002E-2</v>
      </c>
      <c r="I62" s="4">
        <v>-1.8800000000000001E-2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86059-1B09-45D9-87DB-FE37E9B3D5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González Álvarez</dc:creator>
  <cp:lastModifiedBy>Miguel Ángel González Álvarez</cp:lastModifiedBy>
  <dcterms:created xsi:type="dcterms:W3CDTF">2024-11-06T16:38:58Z</dcterms:created>
  <dcterms:modified xsi:type="dcterms:W3CDTF">2024-11-06T17:06:07Z</dcterms:modified>
</cp:coreProperties>
</file>