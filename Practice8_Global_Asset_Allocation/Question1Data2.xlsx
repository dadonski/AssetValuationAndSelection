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quint\Documents\#OVERZETTEN-documenten\UA\Handelsingenieur jaar 5\Semester 1\Asset Valuation and selection\MATLAB\"/>
    </mc:Choice>
  </mc:AlternateContent>
  <xr:revisionPtr revIDLastSave="0" documentId="13_ncr:1_{F7A61AF6-764D-4832-B733-659B00DF9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6votLgqJAWTHNJn4TM17X2uhJii4FpMkutFqDAV4CI="/>
    </ext>
  </extLst>
</workbook>
</file>

<file path=xl/calcChain.xml><?xml version="1.0" encoding="utf-8"?>
<calcChain xmlns="http://schemas.openxmlformats.org/spreadsheetml/2006/main">
  <c r="F10" i="1" l="1"/>
  <c r="F11" i="1" s="1"/>
  <c r="F12" i="1" s="1"/>
  <c r="F13" i="1" s="1"/>
  <c r="F14" i="1" s="1"/>
  <c r="F15" i="1" s="1"/>
  <c r="F16" i="1" s="1"/>
  <c r="F9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8" i="1"/>
  <c r="F7" i="1"/>
  <c r="F6" i="1"/>
  <c r="F5" i="1"/>
  <c r="F4" i="1"/>
  <c r="F3" i="1"/>
  <c r="F2" i="1"/>
  <c r="E157" i="1"/>
  <c r="C157" i="1"/>
  <c r="B157" i="1"/>
  <c r="E156" i="1"/>
  <c r="C156" i="1"/>
  <c r="B156" i="1"/>
  <c r="E155" i="1"/>
  <c r="C155" i="1"/>
  <c r="B155" i="1"/>
  <c r="E154" i="1"/>
  <c r="C154" i="1"/>
  <c r="B154" i="1"/>
  <c r="E153" i="1"/>
  <c r="C153" i="1"/>
  <c r="B153" i="1"/>
  <c r="E152" i="1"/>
  <c r="C152" i="1"/>
  <c r="B152" i="1"/>
  <c r="E151" i="1"/>
  <c r="C151" i="1"/>
  <c r="B151" i="1"/>
  <c r="E150" i="1"/>
  <c r="C150" i="1"/>
  <c r="B150" i="1"/>
  <c r="E149" i="1"/>
  <c r="C149" i="1"/>
  <c r="B149" i="1"/>
  <c r="E148" i="1"/>
  <c r="C148" i="1"/>
  <c r="B148" i="1"/>
  <c r="E147" i="1"/>
  <c r="C147" i="1"/>
  <c r="B147" i="1"/>
  <c r="E146" i="1"/>
  <c r="C146" i="1"/>
  <c r="B146" i="1"/>
  <c r="E145" i="1"/>
  <c r="C145" i="1"/>
  <c r="B145" i="1"/>
  <c r="E144" i="1"/>
  <c r="C144" i="1"/>
  <c r="B144" i="1"/>
  <c r="E143" i="1"/>
  <c r="C143" i="1"/>
  <c r="B143" i="1"/>
  <c r="E142" i="1"/>
  <c r="C142" i="1"/>
  <c r="B142" i="1"/>
  <c r="E141" i="1"/>
  <c r="C141" i="1"/>
  <c r="B141" i="1"/>
  <c r="E140" i="1"/>
  <c r="C140" i="1"/>
  <c r="B140" i="1"/>
  <c r="E139" i="1"/>
  <c r="C139" i="1"/>
  <c r="B139" i="1"/>
  <c r="E138" i="1"/>
  <c r="C138" i="1"/>
  <c r="B138" i="1"/>
  <c r="E137" i="1"/>
  <c r="C137" i="1"/>
  <c r="B137" i="1"/>
  <c r="E136" i="1"/>
  <c r="C136" i="1"/>
  <c r="B136" i="1"/>
  <c r="E135" i="1"/>
  <c r="C135" i="1"/>
  <c r="B135" i="1"/>
  <c r="E134" i="1"/>
  <c r="C134" i="1"/>
  <c r="B134" i="1"/>
  <c r="E133" i="1"/>
  <c r="C133" i="1"/>
  <c r="B133" i="1"/>
  <c r="E132" i="1"/>
  <c r="C132" i="1"/>
  <c r="B132" i="1"/>
  <c r="E131" i="1"/>
  <c r="C131" i="1"/>
  <c r="B131" i="1"/>
  <c r="E130" i="1"/>
  <c r="C130" i="1"/>
  <c r="B130" i="1"/>
  <c r="E129" i="1"/>
  <c r="C129" i="1"/>
  <c r="B129" i="1"/>
  <c r="E128" i="1"/>
  <c r="C128" i="1"/>
  <c r="B128" i="1"/>
  <c r="E127" i="1"/>
  <c r="C127" i="1"/>
  <c r="B127" i="1"/>
  <c r="E126" i="1"/>
  <c r="C126" i="1"/>
  <c r="B126" i="1"/>
  <c r="E125" i="1"/>
  <c r="C125" i="1"/>
  <c r="B125" i="1"/>
  <c r="E124" i="1"/>
  <c r="C124" i="1"/>
  <c r="B124" i="1"/>
  <c r="E123" i="1"/>
  <c r="C123" i="1"/>
  <c r="B123" i="1"/>
  <c r="E122" i="1"/>
  <c r="C122" i="1"/>
  <c r="B122" i="1"/>
  <c r="E121" i="1"/>
  <c r="C121" i="1"/>
  <c r="B121" i="1"/>
  <c r="E120" i="1"/>
  <c r="C120" i="1"/>
  <c r="B120" i="1"/>
  <c r="E119" i="1"/>
  <c r="C119" i="1"/>
  <c r="B119" i="1"/>
  <c r="E118" i="1"/>
  <c r="C118" i="1"/>
  <c r="B118" i="1"/>
  <c r="E117" i="1"/>
  <c r="C117" i="1"/>
  <c r="B117" i="1"/>
  <c r="E116" i="1"/>
  <c r="C116" i="1"/>
  <c r="B116" i="1"/>
  <c r="E115" i="1"/>
  <c r="C115" i="1"/>
  <c r="B115" i="1"/>
  <c r="E114" i="1"/>
  <c r="C114" i="1"/>
  <c r="B114" i="1"/>
  <c r="E113" i="1"/>
  <c r="C113" i="1"/>
  <c r="B113" i="1"/>
  <c r="E112" i="1"/>
  <c r="C112" i="1"/>
  <c r="B112" i="1"/>
  <c r="E111" i="1"/>
  <c r="C111" i="1"/>
  <c r="B111" i="1"/>
  <c r="E110" i="1"/>
  <c r="C110" i="1"/>
  <c r="B110" i="1"/>
  <c r="E109" i="1"/>
  <c r="C109" i="1"/>
  <c r="B109" i="1"/>
  <c r="E108" i="1"/>
  <c r="C108" i="1"/>
  <c r="B108" i="1"/>
  <c r="E107" i="1"/>
  <c r="C107" i="1"/>
  <c r="B107" i="1"/>
  <c r="E106" i="1"/>
  <c r="C106" i="1"/>
  <c r="B106" i="1"/>
  <c r="E105" i="1"/>
  <c r="C105" i="1"/>
  <c r="B105" i="1"/>
  <c r="E104" i="1"/>
  <c r="C104" i="1"/>
  <c r="B104" i="1"/>
  <c r="E103" i="1"/>
  <c r="C103" i="1"/>
  <c r="B103" i="1"/>
  <c r="E102" i="1"/>
  <c r="C102" i="1"/>
  <c r="B102" i="1"/>
  <c r="E101" i="1"/>
  <c r="C101" i="1"/>
  <c r="B101" i="1"/>
  <c r="E100" i="1"/>
  <c r="C100" i="1"/>
  <c r="B100" i="1"/>
  <c r="E99" i="1"/>
  <c r="C99" i="1"/>
  <c r="B99" i="1"/>
  <c r="E98" i="1"/>
  <c r="C98" i="1"/>
  <c r="B98" i="1"/>
  <c r="E97" i="1"/>
  <c r="C97" i="1"/>
  <c r="B97" i="1"/>
  <c r="E96" i="1"/>
  <c r="C96" i="1"/>
  <c r="B96" i="1"/>
  <c r="E95" i="1"/>
  <c r="C95" i="1"/>
  <c r="B95" i="1"/>
  <c r="E94" i="1"/>
  <c r="C94" i="1"/>
  <c r="B94" i="1"/>
  <c r="E93" i="1"/>
  <c r="C93" i="1"/>
  <c r="B93" i="1"/>
  <c r="E92" i="1"/>
  <c r="C92" i="1"/>
  <c r="B92" i="1"/>
  <c r="E91" i="1"/>
  <c r="C91" i="1"/>
  <c r="B91" i="1"/>
  <c r="E90" i="1"/>
  <c r="C90" i="1"/>
  <c r="B90" i="1"/>
  <c r="E89" i="1"/>
  <c r="C89" i="1"/>
  <c r="B89" i="1"/>
  <c r="E88" i="1"/>
  <c r="C88" i="1"/>
  <c r="B88" i="1"/>
  <c r="E87" i="1"/>
  <c r="C87" i="1"/>
  <c r="B87" i="1"/>
  <c r="E86" i="1"/>
  <c r="C86" i="1"/>
  <c r="B86" i="1"/>
  <c r="E85" i="1"/>
  <c r="C85" i="1"/>
  <c r="B85" i="1"/>
  <c r="E84" i="1"/>
  <c r="C84" i="1"/>
  <c r="B84" i="1"/>
  <c r="E83" i="1"/>
  <c r="C83" i="1"/>
  <c r="B83" i="1"/>
  <c r="E82" i="1"/>
  <c r="C82" i="1"/>
  <c r="B82" i="1"/>
  <c r="E81" i="1"/>
  <c r="C81" i="1"/>
  <c r="B81" i="1"/>
  <c r="E80" i="1"/>
  <c r="C80" i="1"/>
  <c r="B80" i="1"/>
  <c r="E79" i="1"/>
  <c r="C79" i="1"/>
  <c r="B79" i="1"/>
  <c r="E78" i="1"/>
  <c r="C78" i="1"/>
  <c r="B78" i="1"/>
  <c r="E77" i="1"/>
  <c r="C77" i="1"/>
  <c r="B77" i="1"/>
  <c r="E76" i="1"/>
  <c r="C76" i="1"/>
  <c r="B76" i="1"/>
  <c r="E75" i="1"/>
  <c r="C75" i="1"/>
  <c r="B75" i="1"/>
  <c r="E74" i="1"/>
  <c r="C74" i="1"/>
  <c r="B74" i="1"/>
  <c r="E73" i="1"/>
  <c r="C73" i="1"/>
  <c r="B73" i="1"/>
  <c r="E72" i="1"/>
  <c r="C72" i="1"/>
  <c r="B72" i="1"/>
  <c r="E71" i="1"/>
  <c r="C71" i="1"/>
  <c r="B71" i="1"/>
  <c r="E70" i="1"/>
  <c r="C70" i="1"/>
  <c r="B70" i="1"/>
  <c r="E69" i="1"/>
  <c r="C69" i="1"/>
  <c r="B69" i="1"/>
  <c r="E68" i="1"/>
  <c r="C68" i="1"/>
  <c r="B68" i="1"/>
  <c r="E67" i="1"/>
  <c r="C67" i="1"/>
  <c r="B67" i="1"/>
  <c r="E66" i="1"/>
  <c r="C66" i="1"/>
  <c r="B66" i="1"/>
  <c r="E65" i="1"/>
  <c r="C65" i="1"/>
  <c r="B65" i="1"/>
  <c r="E64" i="1"/>
  <c r="C64" i="1"/>
  <c r="B64" i="1"/>
  <c r="E63" i="1"/>
  <c r="C63" i="1"/>
  <c r="B63" i="1"/>
  <c r="E62" i="1"/>
  <c r="C62" i="1"/>
  <c r="B62" i="1"/>
  <c r="E61" i="1"/>
  <c r="C61" i="1"/>
  <c r="B61" i="1"/>
  <c r="E60" i="1"/>
  <c r="C60" i="1"/>
  <c r="B60" i="1"/>
  <c r="E59" i="1"/>
  <c r="C59" i="1"/>
  <c r="B59" i="1"/>
  <c r="E58" i="1"/>
  <c r="C58" i="1"/>
  <c r="B58" i="1"/>
  <c r="E57" i="1"/>
  <c r="C57" i="1"/>
  <c r="B57" i="1"/>
  <c r="E56" i="1"/>
  <c r="C56" i="1"/>
  <c r="B56" i="1"/>
  <c r="E55" i="1"/>
  <c r="C55" i="1"/>
  <c r="B55" i="1"/>
  <c r="E54" i="1"/>
  <c r="C54" i="1"/>
  <c r="B54" i="1"/>
  <c r="E53" i="1"/>
  <c r="C53" i="1"/>
  <c r="B53" i="1"/>
  <c r="E52" i="1"/>
  <c r="C52" i="1"/>
  <c r="B52" i="1"/>
  <c r="E51" i="1"/>
  <c r="C51" i="1"/>
  <c r="B51" i="1"/>
  <c r="E50" i="1"/>
  <c r="C50" i="1"/>
  <c r="B50" i="1"/>
  <c r="E49" i="1"/>
  <c r="C49" i="1"/>
  <c r="B49" i="1"/>
  <c r="E48" i="1"/>
  <c r="C48" i="1"/>
  <c r="B48" i="1"/>
  <c r="E47" i="1"/>
  <c r="C47" i="1"/>
  <c r="B47" i="1"/>
  <c r="E46" i="1"/>
  <c r="C46" i="1"/>
  <c r="B46" i="1"/>
  <c r="E45" i="1"/>
  <c r="C45" i="1"/>
  <c r="B45" i="1"/>
  <c r="E44" i="1"/>
  <c r="C44" i="1"/>
  <c r="B44" i="1"/>
  <c r="E43" i="1"/>
  <c r="C43" i="1"/>
  <c r="B43" i="1"/>
  <c r="E42" i="1"/>
  <c r="C42" i="1"/>
  <c r="B42" i="1"/>
  <c r="E41" i="1"/>
  <c r="C41" i="1"/>
  <c r="B41" i="1"/>
  <c r="E40" i="1"/>
  <c r="C40" i="1"/>
  <c r="B40" i="1"/>
  <c r="E39" i="1"/>
  <c r="C39" i="1"/>
  <c r="B39" i="1"/>
  <c r="E38" i="1"/>
  <c r="C38" i="1"/>
  <c r="B38" i="1"/>
  <c r="E37" i="1"/>
  <c r="C37" i="1"/>
  <c r="B37" i="1"/>
  <c r="E36" i="1"/>
  <c r="C36" i="1"/>
  <c r="B36" i="1"/>
  <c r="E35" i="1"/>
  <c r="C35" i="1"/>
  <c r="B35" i="1"/>
  <c r="E34" i="1"/>
  <c r="C34" i="1"/>
  <c r="B34" i="1"/>
  <c r="E33" i="1"/>
  <c r="C33" i="1"/>
  <c r="B33" i="1"/>
  <c r="E32" i="1"/>
  <c r="C32" i="1"/>
  <c r="B32" i="1"/>
  <c r="E31" i="1"/>
  <c r="C31" i="1"/>
  <c r="B31" i="1"/>
  <c r="E30" i="1"/>
  <c r="C30" i="1"/>
  <c r="B30" i="1"/>
  <c r="E29" i="1"/>
  <c r="C29" i="1"/>
  <c r="B29" i="1"/>
  <c r="E28" i="1"/>
  <c r="C28" i="1"/>
  <c r="B28" i="1"/>
  <c r="E27" i="1"/>
  <c r="C27" i="1"/>
  <c r="B27" i="1"/>
  <c r="E26" i="1"/>
  <c r="C26" i="1"/>
  <c r="B26" i="1"/>
  <c r="E25" i="1"/>
  <c r="C25" i="1"/>
  <c r="B25" i="1"/>
  <c r="E24" i="1"/>
  <c r="C24" i="1"/>
  <c r="B24" i="1"/>
  <c r="E23" i="1"/>
  <c r="C23" i="1"/>
  <c r="B23" i="1"/>
  <c r="E22" i="1"/>
  <c r="C22" i="1"/>
  <c r="B22" i="1"/>
  <c r="E21" i="1"/>
  <c r="C21" i="1"/>
  <c r="B21" i="1"/>
  <c r="E20" i="1"/>
  <c r="C20" i="1"/>
  <c r="B20" i="1"/>
  <c r="E19" i="1"/>
  <c r="C19" i="1"/>
  <c r="B19" i="1"/>
  <c r="E18" i="1"/>
  <c r="C18" i="1"/>
  <c r="B18" i="1"/>
  <c r="E17" i="1"/>
  <c r="C17" i="1"/>
  <c r="B17" i="1"/>
  <c r="E16" i="1"/>
  <c r="C16" i="1"/>
  <c r="B16" i="1"/>
  <c r="E15" i="1"/>
  <c r="C15" i="1"/>
  <c r="B15" i="1"/>
  <c r="E14" i="1"/>
  <c r="C14" i="1"/>
  <c r="B14" i="1"/>
  <c r="E13" i="1"/>
  <c r="C13" i="1"/>
  <c r="B13" i="1"/>
  <c r="E12" i="1"/>
  <c r="C12" i="1"/>
  <c r="B12" i="1"/>
  <c r="E11" i="1"/>
  <c r="C11" i="1"/>
  <c r="B11" i="1"/>
  <c r="E10" i="1"/>
  <c r="C10" i="1"/>
  <c r="B10" i="1"/>
  <c r="E9" i="1"/>
  <c r="C9" i="1"/>
  <c r="B9" i="1"/>
  <c r="E8" i="1"/>
  <c r="C8" i="1"/>
  <c r="B8" i="1"/>
  <c r="E7" i="1"/>
  <c r="C7" i="1"/>
  <c r="B7" i="1"/>
  <c r="E6" i="1"/>
  <c r="C6" i="1"/>
  <c r="B6" i="1"/>
  <c r="E5" i="1"/>
  <c r="C5" i="1"/>
  <c r="B5" i="1"/>
  <c r="E4" i="1"/>
  <c r="C4" i="1"/>
  <c r="B4" i="1"/>
  <c r="E3" i="1"/>
  <c r="C3" i="1"/>
  <c r="B3" i="1"/>
  <c r="E2" i="1"/>
  <c r="C2" i="1"/>
  <c r="B2" i="1"/>
</calcChain>
</file>

<file path=xl/sharedStrings.xml><?xml version="1.0" encoding="utf-8"?>
<sst xmlns="http://schemas.openxmlformats.org/spreadsheetml/2006/main" count="6" uniqueCount="6">
  <si>
    <t>Date</t>
  </si>
  <si>
    <t>IFGL</t>
  </si>
  <si>
    <t>LQD</t>
  </si>
  <si>
    <t>ACWI</t>
  </si>
  <si>
    <t>IWM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</si>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</sst>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0" fontId="1" fillId="0" borderId="1" xfId="0" applyNumberFormat="1" applyFont="1" applyBorder="1" applyAlignment="1">
      <alignment horizontal="right"/>
    </xf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showGridLines="0" tabSelected="1" workbookViewId="0">
      <selection activeCell="G12" sqref="G12"/>
    </sheetView>
  </sheetViews>
  <sheetFormatPr defaultColWidth="12.6640625" defaultRowHeight="15" customHeight="1" x14ac:dyDescent="0.3"/>
  <cols>
    <col min="1" max="1" width="10.33203125" customWidth="1"/>
    <col min="2" max="2" width="9.88671875" customWidth="1"/>
    <col min="3" max="3" width="11.44140625" customWidth="1"/>
    <col min="4" max="5" width="14.77734375" customWidth="1"/>
    <col min="6" max="6" width="22.77734375" bestFit="1" customWidth="1"/>
    <col min="7" max="25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">
      <c r="A2" s="3">
        <v>40179</v>
      </c>
      <c r="B2" s="2">
        <f>-6.05*(1/100)</f>
        <v>-6.0499999999999998E-2</v>
      </c>
      <c r="C2" s="2">
        <f>1.25*(1/100)</f>
        <v>1.2500000000000001E-2</v>
      </c>
      <c r="D2" s="2">
        <v>-5.2999999999999999E-2</v>
      </c>
      <c r="E2" s="2">
        <f>-3.73*(1/100)</f>
        <v>-3.73E-2</v>
      </c>
      <c r="F2" s="2">
        <f>3.994*(1/100)</f>
        <v>3.9940000000000003E-2</v>
      </c>
    </row>
    <row r="3" spans="1:6" ht="14.25" customHeight="1" x14ac:dyDescent="0.3">
      <c r="A3" s="3">
        <v>40210</v>
      </c>
      <c r="B3" s="2">
        <f>2.43*(1/100)</f>
        <v>2.4300000000000002E-2</v>
      </c>
      <c r="C3" s="2">
        <f>0.08*(1/100)</f>
        <v>8.0000000000000004E-4</v>
      </c>
      <c r="D3" s="2">
        <v>2.1700000000000001E-2</v>
      </c>
      <c r="E3" s="2">
        <f>4.48*(1/100)</f>
        <v>4.4800000000000006E-2</v>
      </c>
      <c r="F3" s="2">
        <f>3.63*(1/100)</f>
        <v>3.6299999999999999E-2</v>
      </c>
    </row>
    <row r="4" spans="1:6" ht="14.25" customHeight="1" x14ac:dyDescent="0.3">
      <c r="A4" s="3">
        <v>40238</v>
      </c>
      <c r="B4" s="2">
        <f>3.88*(1/100)</f>
        <v>3.8800000000000001E-2</v>
      </c>
      <c r="C4" s="2">
        <f>0.23*(1/100)</f>
        <v>2.3E-3</v>
      </c>
      <c r="D4" s="2">
        <v>6.3299999999999995E-2</v>
      </c>
      <c r="E4" s="2">
        <f>7.96*(1/100)</f>
        <v>7.9600000000000004E-2</v>
      </c>
      <c r="F4" s="2">
        <f>3.761*(1/100)</f>
        <v>3.7610000000000005E-2</v>
      </c>
    </row>
    <row r="5" spans="1:6" ht="14.25" customHeight="1" x14ac:dyDescent="0.3">
      <c r="A5" s="3">
        <v>40269</v>
      </c>
      <c r="B5" s="2">
        <f>-1.25*(1/100)</f>
        <v>-1.2500000000000001E-2</v>
      </c>
      <c r="C5" s="2">
        <f>1.46*(1/100)</f>
        <v>1.46E-2</v>
      </c>
      <c r="D5" s="2">
        <v>-2.3E-3</v>
      </c>
      <c r="E5" s="2">
        <f>5.68*(1/100)</f>
        <v>5.6799999999999996E-2</v>
      </c>
      <c r="F5" s="2">
        <f>3.628*(1/100)</f>
        <v>3.628E-2</v>
      </c>
    </row>
    <row r="6" spans="1:6" ht="14.25" customHeight="1" x14ac:dyDescent="0.3">
      <c r="A6" s="3">
        <v>40299</v>
      </c>
      <c r="B6" s="2">
        <f>-9.7*(1/100)</f>
        <v>-9.6999999999999989E-2</v>
      </c>
      <c r="C6" s="2">
        <f>-1.72*(1/100)</f>
        <v>-1.72E-2</v>
      </c>
      <c r="D6" s="2">
        <v>-9.3799999999999994E-2</v>
      </c>
      <c r="E6" s="2">
        <f>-7.54*(1/100)</f>
        <v>-7.5400000000000009E-2</v>
      </c>
      <c r="F6" s="2">
        <f>3.181*(1/100)</f>
        <v>3.1809999999999998E-2</v>
      </c>
    </row>
    <row r="7" spans="1:6" ht="14.25" customHeight="1" x14ac:dyDescent="0.3">
      <c r="A7" s="3">
        <v>40330</v>
      </c>
      <c r="B7" s="2">
        <f>-2.72*(1/100)</f>
        <v>-2.7200000000000002E-2</v>
      </c>
      <c r="C7" s="2">
        <f>2.84*(1/100)</f>
        <v>2.8399999999999998E-2</v>
      </c>
      <c r="D7" s="2">
        <v>-4.4200000000000003E-2</v>
      </c>
      <c r="E7" s="2">
        <f>-7.74*(1/100)</f>
        <v>-7.740000000000001E-2</v>
      </c>
      <c r="F7" s="2">
        <f>3.201*(1/100)</f>
        <v>3.2010000000000004E-2</v>
      </c>
    </row>
    <row r="8" spans="1:6" ht="14.25" customHeight="1" x14ac:dyDescent="0.3">
      <c r="A8" s="3">
        <v>40360</v>
      </c>
      <c r="B8" s="2">
        <f>10.01*(1/100)</f>
        <v>0.10009999999999999</v>
      </c>
      <c r="C8" s="2">
        <f>1.7*(1/100)</f>
        <v>1.7000000000000001E-2</v>
      </c>
      <c r="D8" s="2">
        <v>9.3399999999999997E-2</v>
      </c>
      <c r="E8" s="2">
        <f>6.38*(1/100)</f>
        <v>6.3799999999999996E-2</v>
      </c>
      <c r="F8" s="2">
        <f>3.296*(1/100)</f>
        <v>3.2959999999999996E-2</v>
      </c>
    </row>
    <row r="9" spans="1:6" ht="14.25" customHeight="1" x14ac:dyDescent="0.3">
      <c r="A9" s="3">
        <v>40391</v>
      </c>
      <c r="B9" s="2">
        <f>-0.11*(1/100)</f>
        <v>-1.1000000000000001E-3</v>
      </c>
      <c r="C9" s="2">
        <f>2.45*(1/100)</f>
        <v>2.4500000000000001E-2</v>
      </c>
      <c r="D9" s="2">
        <v>-4.2799999999999998E-2</v>
      </c>
      <c r="E9" s="2">
        <f>-7.44*(1/100)</f>
        <v>-7.4400000000000008E-2</v>
      </c>
      <c r="F9" s="2">
        <f>F8</f>
        <v>3.2959999999999996E-2</v>
      </c>
    </row>
    <row r="10" spans="1:6" ht="14.25" customHeight="1" x14ac:dyDescent="0.3">
      <c r="A10" s="3">
        <v>40422</v>
      </c>
      <c r="B10" s="2">
        <f>10.74*(1/100)</f>
        <v>0.10740000000000001</v>
      </c>
      <c r="C10" s="2">
        <f>0.08*(1/100)</f>
        <v>8.0000000000000004E-4</v>
      </c>
      <c r="D10" s="2">
        <v>9.8100000000000007E-2</v>
      </c>
      <c r="E10" s="2">
        <f>12.16*(1/100)</f>
        <v>0.1216</v>
      </c>
      <c r="F10" s="2">
        <f t="shared" ref="F10:F16" si="0">F9</f>
        <v>3.2959999999999996E-2</v>
      </c>
    </row>
    <row r="11" spans="1:6" ht="14.25" customHeight="1" x14ac:dyDescent="0.3">
      <c r="A11" s="3">
        <v>40452</v>
      </c>
      <c r="B11" s="2">
        <f>4.46*(1/100)</f>
        <v>4.4600000000000001E-2</v>
      </c>
      <c r="C11" s="2">
        <f>-0.65*(1/100)</f>
        <v>-6.5000000000000006E-3</v>
      </c>
      <c r="D11" s="2">
        <v>3.7499999999999999E-2</v>
      </c>
      <c r="E11" s="2">
        <f>4.15*(1/100)</f>
        <v>4.1500000000000002E-2</v>
      </c>
      <c r="F11" s="2">
        <f t="shared" si="0"/>
        <v>3.2959999999999996E-2</v>
      </c>
    </row>
    <row r="12" spans="1:6" ht="14.25" customHeight="1" x14ac:dyDescent="0.3">
      <c r="A12" s="3">
        <v>40483</v>
      </c>
      <c r="B12" s="2">
        <f>-5.93*(1/100)</f>
        <v>-5.9299999999999999E-2</v>
      </c>
      <c r="C12" s="2">
        <f>-1.99*(1/100)</f>
        <v>-1.9900000000000001E-2</v>
      </c>
      <c r="D12" s="2">
        <v>-2.1899999999999999E-2</v>
      </c>
      <c r="E12" s="2">
        <f>3.49*(1/100)</f>
        <v>3.49E-2</v>
      </c>
      <c r="F12" s="2">
        <f t="shared" si="0"/>
        <v>3.2959999999999996E-2</v>
      </c>
    </row>
    <row r="13" spans="1:6" ht="14.25" customHeight="1" x14ac:dyDescent="0.3">
      <c r="A13" s="3">
        <v>40513</v>
      </c>
      <c r="B13" s="2">
        <f>3.4*(1/100)</f>
        <v>3.4000000000000002E-2</v>
      </c>
      <c r="C13" s="2">
        <f>-1.53*(1/100)</f>
        <v>-1.5300000000000001E-2</v>
      </c>
      <c r="D13" s="2">
        <v>6.7500000000000004E-2</v>
      </c>
      <c r="E13" s="2">
        <f>7.55*(1/100)</f>
        <v>7.5499999999999998E-2</v>
      </c>
      <c r="F13" s="2">
        <f t="shared" si="0"/>
        <v>3.2959999999999996E-2</v>
      </c>
    </row>
    <row r="14" spans="1:6" ht="14.25" customHeight="1" x14ac:dyDescent="0.3">
      <c r="A14" s="3">
        <v>40544</v>
      </c>
      <c r="B14" s="2">
        <f>0.71*(1/100)</f>
        <v>7.0999999999999995E-3</v>
      </c>
      <c r="C14" s="2">
        <f>0.04*(1/100)</f>
        <v>4.0000000000000002E-4</v>
      </c>
      <c r="D14" s="2">
        <v>1.0699999999999999E-2</v>
      </c>
      <c r="E14" s="2">
        <f>-0.37*(1/100)</f>
        <v>-3.7000000000000002E-3</v>
      </c>
      <c r="F14" s="2">
        <f t="shared" si="0"/>
        <v>3.2959999999999996E-2</v>
      </c>
    </row>
    <row r="15" spans="1:6" ht="14.25" customHeight="1" x14ac:dyDescent="0.3">
      <c r="A15" s="3">
        <v>40575</v>
      </c>
      <c r="B15" s="2">
        <f>2.21*(1/100)</f>
        <v>2.2100000000000002E-2</v>
      </c>
      <c r="C15" s="2">
        <f>0.68*(1/100)</f>
        <v>6.8000000000000005E-3</v>
      </c>
      <c r="D15" s="2">
        <v>3.1099999999999999E-2</v>
      </c>
      <c r="E15" s="2">
        <f>5.54*(1/100)</f>
        <v>5.5400000000000005E-2</v>
      </c>
      <c r="F15" s="2">
        <f t="shared" si="0"/>
        <v>3.2959999999999996E-2</v>
      </c>
    </row>
    <row r="16" spans="1:6" ht="14.25" customHeight="1" x14ac:dyDescent="0.3">
      <c r="A16" s="3">
        <v>40603</v>
      </c>
      <c r="B16" s="2">
        <f>-1.75*(1/100)</f>
        <v>-1.7500000000000002E-2</v>
      </c>
      <c r="C16" s="2">
        <f>-0.93*(1/100)</f>
        <v>-9.300000000000001E-3</v>
      </c>
      <c r="D16" s="2">
        <v>-8.6E-3</v>
      </c>
      <c r="E16" s="2">
        <f>2.31*(1/100)</f>
        <v>2.3100000000000002E-2</v>
      </c>
      <c r="F16" s="2">
        <f t="shared" si="0"/>
        <v>3.2959999999999996E-2</v>
      </c>
    </row>
    <row r="17" spans="1:6" ht="14.25" customHeight="1" x14ac:dyDescent="0.3">
      <c r="A17" s="3">
        <v>40634</v>
      </c>
      <c r="B17" s="2">
        <f>4.72*(1/100)</f>
        <v>4.7199999999999999E-2</v>
      </c>
      <c r="C17" s="2">
        <f>2.1*(1/100)</f>
        <v>2.1000000000000001E-2</v>
      </c>
      <c r="D17" s="2">
        <v>4.82E-2</v>
      </c>
      <c r="E17" s="2">
        <f>2.64*(1/100)</f>
        <v>2.6400000000000003E-2</v>
      </c>
      <c r="F17" s="2">
        <f>3.706*(1/100)</f>
        <v>3.7060000000000003E-2</v>
      </c>
    </row>
    <row r="18" spans="1:6" ht="14.25" customHeight="1" x14ac:dyDescent="0.3">
      <c r="A18" s="3">
        <v>40664</v>
      </c>
      <c r="B18" s="2">
        <f>-0.37*(1/100)</f>
        <v>-3.7000000000000002E-3</v>
      </c>
      <c r="C18" s="2">
        <f>0.88*(1/100)</f>
        <v>8.8000000000000005E-3</v>
      </c>
      <c r="D18" s="2">
        <v>-1.95E-2</v>
      </c>
      <c r="E18" s="2">
        <f>-1.79*(1/100)</f>
        <v>-1.7899999999999999E-2</v>
      </c>
      <c r="F18" s="2">
        <f>3.401*(1/100)</f>
        <v>3.4009999999999999E-2</v>
      </c>
    </row>
    <row r="19" spans="1:6" ht="14.25" customHeight="1" x14ac:dyDescent="0.3">
      <c r="A19" s="3">
        <v>40695</v>
      </c>
      <c r="B19" s="2">
        <f>-4.06*(1/100)</f>
        <v>-4.0599999999999997E-2</v>
      </c>
      <c r="C19" s="2">
        <f>-1.18*(1/100)</f>
        <v>-1.18E-2</v>
      </c>
      <c r="D19" s="2">
        <v>-2.92E-2</v>
      </c>
      <c r="E19" s="2">
        <f>-2.4*(1/100)</f>
        <v>-2.4E-2</v>
      </c>
      <c r="F19" s="2">
        <f>3.404*(1/100)</f>
        <v>3.4040000000000001E-2</v>
      </c>
    </row>
    <row r="20" spans="1:6" ht="14.25" customHeight="1" x14ac:dyDescent="0.3">
      <c r="A20" s="3">
        <v>40725</v>
      </c>
      <c r="B20" s="2">
        <f>-0.86*(1/100)</f>
        <v>-8.6E-3</v>
      </c>
      <c r="C20" s="2">
        <f>2.03*(1/100)</f>
        <v>2.0299999999999999E-2</v>
      </c>
      <c r="D20" s="2">
        <v>-2.2800000000000001E-2</v>
      </c>
      <c r="E20" s="2">
        <f>-3.7*(1/100)</f>
        <v>-3.7000000000000005E-2</v>
      </c>
      <c r="F20" s="2">
        <f>2.911*(1/100)</f>
        <v>2.911E-2</v>
      </c>
    </row>
    <row r="21" spans="1:6" ht="14.25" customHeight="1" x14ac:dyDescent="0.3">
      <c r="A21" s="3">
        <v>40756</v>
      </c>
      <c r="B21" s="2">
        <f>-5.98*(1/100)</f>
        <v>-5.9800000000000006E-2</v>
      </c>
      <c r="C21" s="2">
        <f>-0.04*(1/100)</f>
        <v>-4.0000000000000002E-4</v>
      </c>
      <c r="D21" s="2">
        <v>-7.3599999999999999E-2</v>
      </c>
      <c r="E21" s="2">
        <f>-8.89*(1/100)</f>
        <v>-8.8900000000000007E-2</v>
      </c>
      <c r="F21" s="2">
        <f>2.87*(1/100)</f>
        <v>2.8700000000000003E-2</v>
      </c>
    </row>
    <row r="22" spans="1:6" ht="14.25" customHeight="1" x14ac:dyDescent="0.3">
      <c r="A22" s="3">
        <v>40787</v>
      </c>
      <c r="B22" s="2">
        <f>-14.59*(1/100)</f>
        <v>-0.1459</v>
      </c>
      <c r="C22" s="2">
        <f>-0.02*(1/100)</f>
        <v>-2.0000000000000001E-4</v>
      </c>
      <c r="D22" s="2">
        <v>-0.10440000000000001</v>
      </c>
      <c r="E22" s="2">
        <f>-11.49*(1/100)</f>
        <v>-0.1149</v>
      </c>
      <c r="F22" s="2">
        <f>2.388*(1/100)</f>
        <v>2.3879999999999998E-2</v>
      </c>
    </row>
    <row r="23" spans="1:6" ht="14.25" customHeight="1" x14ac:dyDescent="0.3">
      <c r="A23" s="3">
        <v>40817</v>
      </c>
      <c r="B23" s="2">
        <f>10.04*(1/100)</f>
        <v>0.10039999999999999</v>
      </c>
      <c r="C23" s="2">
        <f>2.13*(1/100)</f>
        <v>2.1299999999999999E-2</v>
      </c>
      <c r="D23" s="2">
        <v>0.1132</v>
      </c>
      <c r="E23" s="2">
        <f>15.1*(1/100)</f>
        <v>0.151</v>
      </c>
      <c r="F23" s="2">
        <f>2.708*(1/100)</f>
        <v>2.7080000000000003E-2</v>
      </c>
    </row>
    <row r="24" spans="1:6" ht="14.25" customHeight="1" x14ac:dyDescent="0.3">
      <c r="A24" s="3">
        <v>40848</v>
      </c>
      <c r="B24" s="2">
        <f>-3.82*(1/100)</f>
        <v>-3.8199999999999998E-2</v>
      </c>
      <c r="C24" s="2">
        <f>-3.5*(1/100)</f>
        <v>-3.5000000000000003E-2</v>
      </c>
      <c r="D24" s="2">
        <v>-1.15E-2</v>
      </c>
      <c r="E24" s="2">
        <f>-0.38*(1/100)</f>
        <v>-3.8E-3</v>
      </c>
      <c r="F24" s="2">
        <f>2.506*(1/100)</f>
        <v>2.5059999999999999E-2</v>
      </c>
    </row>
    <row r="25" spans="1:6" ht="14.25" customHeight="1" x14ac:dyDescent="0.3">
      <c r="A25" s="3">
        <v>40878</v>
      </c>
      <c r="B25" s="2">
        <f>-4.54*(1/100)</f>
        <v>-4.5400000000000003E-2</v>
      </c>
      <c r="C25" s="2">
        <f>2.77*(1/100)</f>
        <v>2.7700000000000002E-2</v>
      </c>
      <c r="D25" s="2">
        <v>-2.0400000000000001E-2</v>
      </c>
      <c r="E25" s="2">
        <f>0.03*(1/100)</f>
        <v>2.9999999999999997E-4</v>
      </c>
      <c r="F25" s="2">
        <f>2.435*(1/100)</f>
        <v>2.435E-2</v>
      </c>
    </row>
    <row r="26" spans="1:6" ht="14.25" customHeight="1" x14ac:dyDescent="0.3">
      <c r="A26" s="3">
        <v>40909</v>
      </c>
      <c r="B26" s="2">
        <f>8.79*(1/100)</f>
        <v>8.7899999999999992E-2</v>
      </c>
      <c r="C26" s="2">
        <f>2.14*(1/100)</f>
        <v>2.1400000000000002E-2</v>
      </c>
      <c r="D26" s="2">
        <v>5.4800000000000001E-2</v>
      </c>
      <c r="E26" s="2">
        <f>7.15*(1/100)</f>
        <v>7.1500000000000008E-2</v>
      </c>
      <c r="F26" s="2">
        <f>2.385*(1/100)</f>
        <v>2.385E-2</v>
      </c>
    </row>
    <row r="27" spans="1:6" ht="14.25" customHeight="1" x14ac:dyDescent="0.3">
      <c r="A27" s="3">
        <v>40940</v>
      </c>
      <c r="B27" s="2">
        <f>7.06*(1/100)</f>
        <v>7.0599999999999996E-2</v>
      </c>
      <c r="C27" s="2">
        <f>1.29*(1/100)</f>
        <v>1.29E-2</v>
      </c>
      <c r="D27" s="2">
        <v>4.9500000000000002E-2</v>
      </c>
      <c r="E27" s="2">
        <f>2.57*(1/100)</f>
        <v>2.5700000000000001E-2</v>
      </c>
      <c r="F27" s="2">
        <f>2.327*(1/100)</f>
        <v>2.3269999999999999E-2</v>
      </c>
    </row>
    <row r="28" spans="1:6" ht="14.25" customHeight="1" x14ac:dyDescent="0.3">
      <c r="A28" s="3">
        <v>40969</v>
      </c>
      <c r="B28" s="2">
        <f>-2.28*(1/100)</f>
        <v>-2.2799999999999997E-2</v>
      </c>
      <c r="C28" s="2">
        <f>-1.76*(1/100)</f>
        <v>-1.7600000000000001E-2</v>
      </c>
      <c r="D28" s="2">
        <v>1.11E-2</v>
      </c>
      <c r="E28" s="2">
        <f>2.17*(1/100)</f>
        <v>2.1700000000000001E-2</v>
      </c>
      <c r="F28" s="2">
        <f>2.444*(1/100)</f>
        <v>2.444E-2</v>
      </c>
    </row>
    <row r="29" spans="1:6" ht="14.25" customHeight="1" x14ac:dyDescent="0.3">
      <c r="A29" s="3">
        <v>41000</v>
      </c>
      <c r="B29" s="2">
        <f>1.53*(1/100)</f>
        <v>1.5300000000000001E-2</v>
      </c>
      <c r="C29" s="2">
        <f>0.74*(1/100)</f>
        <v>7.4000000000000003E-3</v>
      </c>
      <c r="D29" s="2">
        <v>-1.14E-2</v>
      </c>
      <c r="E29" s="2">
        <f>-1.62*(1/100)</f>
        <v>-1.6200000000000003E-2</v>
      </c>
      <c r="F29" s="2">
        <f>2.079*(1/100)</f>
        <v>2.0790000000000003E-2</v>
      </c>
    </row>
    <row r="30" spans="1:6" ht="14.25" customHeight="1" x14ac:dyDescent="0.3">
      <c r="A30" s="3">
        <v>41030</v>
      </c>
      <c r="B30" s="2">
        <f>-8.81*(1/100)</f>
        <v>-8.8100000000000012E-2</v>
      </c>
      <c r="C30" s="2">
        <f>0.42*(1/100)</f>
        <v>4.1999999999999997E-3</v>
      </c>
      <c r="D30" s="2">
        <v>-9.2799999999999994E-2</v>
      </c>
      <c r="E30" s="2">
        <f>-6.58*(1/100)</f>
        <v>-6.5799999999999997E-2</v>
      </c>
      <c r="F30" s="2">
        <f>2.019*(1/100)</f>
        <v>2.0190000000000003E-2</v>
      </c>
    </row>
    <row r="31" spans="1:6" ht="14.25" customHeight="1" x14ac:dyDescent="0.3">
      <c r="A31" s="3">
        <v>41061</v>
      </c>
      <c r="B31" s="2">
        <f>7.18*(1/100)</f>
        <v>7.1800000000000003E-2</v>
      </c>
      <c r="C31" s="2">
        <f>0.53*(1/100)</f>
        <v>5.3E-3</v>
      </c>
      <c r="D31" s="2">
        <v>3.6400000000000002E-2</v>
      </c>
      <c r="E31" s="2">
        <f>4.53*(1/100)</f>
        <v>4.53E-2</v>
      </c>
      <c r="F31" s="2">
        <f>2.078*(1/100)</f>
        <v>2.078E-2</v>
      </c>
    </row>
    <row r="32" spans="1:6" ht="14.25" customHeight="1" x14ac:dyDescent="0.3">
      <c r="A32" s="3">
        <v>41091</v>
      </c>
      <c r="B32" s="2">
        <f>4.35*(1/100)</f>
        <v>4.3499999999999997E-2</v>
      </c>
      <c r="C32" s="2">
        <f>3.14*(1/100)</f>
        <v>3.1400000000000004E-2</v>
      </c>
      <c r="D32" s="2">
        <v>8.2000000000000007E-3</v>
      </c>
      <c r="E32" s="2">
        <f>-1.52*(1/100)</f>
        <v>-1.52E-2</v>
      </c>
      <c r="F32" s="2">
        <f>1.933*(1/100)</f>
        <v>1.933E-2</v>
      </c>
    </row>
    <row r="33" spans="1:6" ht="14.25" customHeight="1" x14ac:dyDescent="0.3">
      <c r="A33" s="3">
        <v>41122</v>
      </c>
      <c r="B33" s="2">
        <f>1.18*(1/100)</f>
        <v>1.18E-2</v>
      </c>
      <c r="C33" s="2">
        <f>-0.37*(1/100)</f>
        <v>-3.7000000000000002E-3</v>
      </c>
      <c r="D33" s="2">
        <v>2.7799999999999998E-2</v>
      </c>
      <c r="E33" s="2">
        <f>3.54*(1/100)</f>
        <v>3.5400000000000001E-2</v>
      </c>
      <c r="F33" s="2">
        <f>1.974*(1/100)</f>
        <v>1.9740000000000001E-2</v>
      </c>
    </row>
    <row r="34" spans="1:6" ht="14.25" customHeight="1" x14ac:dyDescent="0.3">
      <c r="A34" s="3">
        <v>41153</v>
      </c>
      <c r="B34" s="2">
        <f>3.32*(1/100)</f>
        <v>3.32E-2</v>
      </c>
      <c r="C34" s="2">
        <f>0.78*(1/100)</f>
        <v>7.8000000000000005E-3</v>
      </c>
      <c r="D34" s="2">
        <v>2.7099999999999999E-2</v>
      </c>
      <c r="E34" s="2">
        <f>2.86*(1/100)</f>
        <v>2.86E-2</v>
      </c>
      <c r="F34" s="2">
        <f>2.143*(1/100)</f>
        <v>2.1429999999999998E-2</v>
      </c>
    </row>
    <row r="35" spans="1:6" ht="14.25" customHeight="1" x14ac:dyDescent="0.3">
      <c r="A35" s="3">
        <v>41183</v>
      </c>
      <c r="B35" s="2">
        <f>2.22*(1/100)</f>
        <v>2.2200000000000001E-2</v>
      </c>
      <c r="C35" s="2">
        <f>1.03*(1/100)</f>
        <v>1.03E-2</v>
      </c>
      <c r="D35" s="2">
        <v>-5.1000000000000004E-3</v>
      </c>
      <c r="E35" s="2">
        <f>-2.17*(1/100)</f>
        <v>-2.1700000000000001E-2</v>
      </c>
      <c r="F35" s="2">
        <f>2.053*(1/100)</f>
        <v>2.053E-2</v>
      </c>
    </row>
    <row r="36" spans="1:6" ht="14.25" customHeight="1" x14ac:dyDescent="0.3">
      <c r="A36" s="3">
        <v>41214</v>
      </c>
      <c r="B36" s="2">
        <f>2.48*(1/100)</f>
        <v>2.4799999999999999E-2</v>
      </c>
      <c r="C36" s="2">
        <f>-0.72*(1/100)</f>
        <v>-7.1999999999999998E-3</v>
      </c>
      <c r="D36" s="2">
        <v>1.5900000000000001E-2</v>
      </c>
      <c r="E36" s="2">
        <f>0.55*(1/100)</f>
        <v>5.5000000000000005E-3</v>
      </c>
      <c r="F36" s="2">
        <f>2.107*(1/100)</f>
        <v>2.1070000000000002E-2</v>
      </c>
    </row>
    <row r="37" spans="1:6" ht="14.25" customHeight="1" x14ac:dyDescent="0.3">
      <c r="A37" s="3">
        <v>41244</v>
      </c>
      <c r="B37" s="2">
        <f>1.66*(1/100)</f>
        <v>1.66E-2</v>
      </c>
      <c r="C37" s="2">
        <f>-0.93*(1/100)</f>
        <v>-9.300000000000001E-3</v>
      </c>
      <c r="D37" s="2">
        <v>1.89E-2</v>
      </c>
      <c r="E37" s="2">
        <f>2.73*(1/100)</f>
        <v>2.7300000000000001E-2</v>
      </c>
      <c r="F37" s="2">
        <f>2.135*(1/100)</f>
        <v>2.1349999999999997E-2</v>
      </c>
    </row>
    <row r="38" spans="1:6" ht="14.25" customHeight="1" x14ac:dyDescent="0.3">
      <c r="A38" s="3">
        <v>41275</v>
      </c>
      <c r="B38" s="2">
        <f>1*(1/100)</f>
        <v>0.01</v>
      </c>
      <c r="C38" s="2">
        <f>-1.3*(1/100)</f>
        <v>-1.3000000000000001E-2</v>
      </c>
      <c r="D38" s="2">
        <v>3.7600000000000001E-2</v>
      </c>
      <c r="E38" s="2">
        <f>6.24*(1/100)</f>
        <v>6.2400000000000004E-2</v>
      </c>
      <c r="F38" s="2">
        <f>2.615*(1/100)</f>
        <v>2.6150000000000003E-2</v>
      </c>
    </row>
    <row r="39" spans="1:6" ht="14.25" customHeight="1" x14ac:dyDescent="0.3">
      <c r="A39" s="3">
        <v>41306</v>
      </c>
      <c r="B39" s="2">
        <f>0.03*(1/100)</f>
        <v>2.9999999999999997E-4</v>
      </c>
      <c r="C39" s="2">
        <f>0.76*(1/100)</f>
        <v>7.6E-3</v>
      </c>
      <c r="D39" s="2">
        <v>-1E-3</v>
      </c>
      <c r="E39" s="2">
        <f>1*(1/100)</f>
        <v>0.01</v>
      </c>
      <c r="F39" s="2">
        <f>2.435*(1/100)</f>
        <v>2.435E-2</v>
      </c>
    </row>
    <row r="40" spans="1:6" ht="14.25" customHeight="1" x14ac:dyDescent="0.3">
      <c r="A40" s="3">
        <v>41334</v>
      </c>
      <c r="B40" s="2">
        <f>2.03*(1/100)</f>
        <v>2.0299999999999999E-2</v>
      </c>
      <c r="C40" s="2">
        <f>-0.36*(1/100)</f>
        <v>-3.5999999999999999E-3</v>
      </c>
      <c r="D40" s="2">
        <v>1.83E-2</v>
      </c>
      <c r="E40" s="2">
        <f>4.37*(1/100)</f>
        <v>4.3700000000000003E-2</v>
      </c>
      <c r="F40" s="2">
        <f>2.188*(1/100)</f>
        <v>2.1880000000000004E-2</v>
      </c>
    </row>
    <row r="41" spans="1:6" ht="14.25" customHeight="1" x14ac:dyDescent="0.3">
      <c r="A41" s="3">
        <v>41365</v>
      </c>
      <c r="B41" s="2">
        <f>7.41*(1/100)</f>
        <v>7.4099999999999999E-2</v>
      </c>
      <c r="C41" s="2">
        <f>1.86*(1/100)</f>
        <v>1.8600000000000002E-2</v>
      </c>
      <c r="D41" s="2">
        <v>2.8400000000000002E-2</v>
      </c>
      <c r="E41" s="2">
        <f>-0.35*(1/100)</f>
        <v>-3.4999999999999996E-3</v>
      </c>
      <c r="F41" s="2">
        <f>2.044*(1/100)</f>
        <v>2.044E-2</v>
      </c>
    </row>
    <row r="42" spans="1:6" ht="14.25" customHeight="1" x14ac:dyDescent="0.3">
      <c r="A42" s="3">
        <v>41395</v>
      </c>
      <c r="B42" s="2">
        <f>-10.55*(1/100)</f>
        <v>-0.10550000000000001</v>
      </c>
      <c r="C42" s="2">
        <f>-3.5*(1/100)</f>
        <v>-3.5000000000000003E-2</v>
      </c>
      <c r="D42" s="2">
        <v>-3.8E-3</v>
      </c>
      <c r="E42" s="2">
        <f>3.93*(1/100)</f>
        <v>3.9300000000000002E-2</v>
      </c>
      <c r="F42" s="2">
        <f>2.201*(1/100)</f>
        <v>2.2010000000000002E-2</v>
      </c>
    </row>
    <row r="43" spans="1:6" ht="14.25" customHeight="1" x14ac:dyDescent="0.3">
      <c r="A43" s="3">
        <v>41426</v>
      </c>
      <c r="B43" s="2">
        <f>-4.48*(1/100)</f>
        <v>-4.4800000000000006E-2</v>
      </c>
      <c r="C43" s="2">
        <f>-3.56*(1/100)</f>
        <v>-3.56E-2</v>
      </c>
      <c r="D43" s="2">
        <v>-3.8300000000000001E-2</v>
      </c>
      <c r="E43" s="2">
        <f>-0.82*(1/100)</f>
        <v>-8.199999999999999E-3</v>
      </c>
      <c r="F43" s="2">
        <f>2.555*(1/100)</f>
        <v>2.5550000000000003E-2</v>
      </c>
    </row>
    <row r="44" spans="1:6" ht="14.25" customHeight="1" x14ac:dyDescent="0.3">
      <c r="A44" s="3">
        <v>41456</v>
      </c>
      <c r="B44" s="2">
        <f>1.6*(1/100)</f>
        <v>1.6E-2</v>
      </c>
      <c r="C44" s="2">
        <f>0.78*(1/100)</f>
        <v>7.8000000000000005E-3</v>
      </c>
      <c r="D44" s="2">
        <v>4.58E-2</v>
      </c>
      <c r="E44" s="2">
        <f>6.86*(1/100)</f>
        <v>6.8600000000000008E-2</v>
      </c>
      <c r="F44" s="2">
        <f>2.703*(1/100)</f>
        <v>2.7029999999999998E-2</v>
      </c>
    </row>
    <row r="45" spans="1:6" ht="14.25" customHeight="1" x14ac:dyDescent="0.3">
      <c r="A45" s="3">
        <v>41487</v>
      </c>
      <c r="B45" s="2">
        <f>-2.07*(1/100)</f>
        <v>-2.07E-2</v>
      </c>
      <c r="C45" s="2">
        <f>-1.3*(1/100)</f>
        <v>-1.3000000000000001E-2</v>
      </c>
      <c r="D45" s="2">
        <v>-2.29E-2</v>
      </c>
      <c r="E45" s="2">
        <f>-3.16*(1/100)</f>
        <v>-3.1600000000000003E-2</v>
      </c>
      <c r="F45" s="2">
        <f>3.009*(1/100)</f>
        <v>3.0089999999999999E-2</v>
      </c>
    </row>
    <row r="46" spans="1:6" ht="14.25" customHeight="1" x14ac:dyDescent="0.3">
      <c r="A46" s="3">
        <v>41518</v>
      </c>
      <c r="B46" s="2">
        <f>7.5*(1/100)</f>
        <v>7.4999999999999997E-2</v>
      </c>
      <c r="C46" s="2">
        <f>0.42*(1/100)</f>
        <v>4.1999999999999997E-3</v>
      </c>
      <c r="D46" s="2">
        <v>5.5399999999999998E-2</v>
      </c>
      <c r="E46" s="2">
        <f>6.21*(1/100)</f>
        <v>6.2100000000000002E-2</v>
      </c>
      <c r="F46" s="2">
        <f>2.825*(1/100)</f>
        <v>2.8250000000000001E-2</v>
      </c>
    </row>
    <row r="47" spans="1:6" ht="14.25" customHeight="1" x14ac:dyDescent="0.3">
      <c r="A47" s="3">
        <v>41548</v>
      </c>
      <c r="B47" s="2">
        <f>1.31*(1/100)</f>
        <v>1.3100000000000001E-2</v>
      </c>
      <c r="C47" s="2">
        <f>1.48*(1/100)</f>
        <v>1.4800000000000001E-2</v>
      </c>
      <c r="D47" s="2">
        <v>3.95E-2</v>
      </c>
      <c r="E47" s="2">
        <f>2.42*(1/100)</f>
        <v>2.4199999999999999E-2</v>
      </c>
      <c r="F47" s="2">
        <f>2.814*(1/100)</f>
        <v>2.8140000000000002E-2</v>
      </c>
    </row>
    <row r="48" spans="1:6" ht="14.25" customHeight="1" x14ac:dyDescent="0.3">
      <c r="A48" s="3">
        <v>41579</v>
      </c>
      <c r="B48" s="2">
        <f>-1.65*(1/100)</f>
        <v>-1.6500000000000001E-2</v>
      </c>
      <c r="C48" s="2">
        <f>-0.47*(1/100)</f>
        <v>-4.7000000000000002E-3</v>
      </c>
      <c r="D48" s="2">
        <v>1.55E-2</v>
      </c>
      <c r="E48" s="2">
        <f>3.96*(1/100)</f>
        <v>3.9600000000000003E-2</v>
      </c>
      <c r="F48" s="2">
        <f>2.787*(1/100)</f>
        <v>2.7869999999999999E-2</v>
      </c>
    </row>
    <row r="49" spans="1:6" ht="14.25" customHeight="1" x14ac:dyDescent="0.3">
      <c r="A49" s="3">
        <v>41609</v>
      </c>
      <c r="B49" s="2">
        <f>-7.62*(1/100)</f>
        <v>-7.6200000000000004E-2</v>
      </c>
      <c r="C49" s="2">
        <f>-0.41*(1/100)</f>
        <v>-4.0999999999999995E-3</v>
      </c>
      <c r="D49" s="2">
        <v>1.23E-2</v>
      </c>
      <c r="E49" s="2">
        <f>1.63*(1/100)</f>
        <v>1.6299999999999999E-2</v>
      </c>
      <c r="F49" s="2">
        <f>2.996*(1/100)</f>
        <v>2.9960000000000001E-2</v>
      </c>
    </row>
    <row r="50" spans="1:6" ht="14.25" customHeight="1" x14ac:dyDescent="0.3">
      <c r="A50" s="3">
        <v>41640</v>
      </c>
      <c r="B50" s="2">
        <f>-5.64*(1/100)</f>
        <v>-5.6399999999999999E-2</v>
      </c>
      <c r="C50" s="2">
        <f>1.88*(1/100)</f>
        <v>1.8800000000000001E-2</v>
      </c>
      <c r="D50" s="2">
        <v>-4.6300000000000001E-2</v>
      </c>
      <c r="E50" s="2">
        <f>-2.77*(1/100)</f>
        <v>-2.7700000000000002E-2</v>
      </c>
      <c r="F50" s="2">
        <f>2.747*(1/100)</f>
        <v>2.7469999999999998E-2</v>
      </c>
    </row>
    <row r="51" spans="1:6" ht="14.25" customHeight="1" x14ac:dyDescent="0.3">
      <c r="A51" s="3">
        <v>41671</v>
      </c>
      <c r="B51" s="2">
        <f>4.1*(1/100)</f>
        <v>4.0999999999999995E-2</v>
      </c>
      <c r="C51" s="2">
        <f>0.84*(1/100)</f>
        <v>8.3999999999999995E-3</v>
      </c>
      <c r="D51" s="2">
        <v>5.1999999999999998E-2</v>
      </c>
      <c r="E51" s="2">
        <f>4.78*(1/100)</f>
        <v>4.7800000000000002E-2</v>
      </c>
      <c r="F51" s="2">
        <f>2.854*(1/100)</f>
        <v>2.8540000000000003E-2</v>
      </c>
    </row>
    <row r="52" spans="1:6" ht="14.25" customHeight="1" x14ac:dyDescent="0.3">
      <c r="A52" s="3">
        <v>41699</v>
      </c>
      <c r="B52" s="2">
        <f>-0.86*(1/100)</f>
        <v>-8.6E-3</v>
      </c>
      <c r="C52" s="2">
        <f>-0.32*(1/100)</f>
        <v>-3.2000000000000002E-3</v>
      </c>
      <c r="D52" s="2">
        <v>5.7000000000000002E-3</v>
      </c>
      <c r="E52" s="2">
        <f>-1*(1/100)</f>
        <v>-0.01</v>
      </c>
      <c r="F52" s="2">
        <f>2.919*(1/100)</f>
        <v>2.9190000000000001E-2</v>
      </c>
    </row>
    <row r="53" spans="1:6" ht="14.25" customHeight="1" x14ac:dyDescent="0.3">
      <c r="A53" s="3">
        <v>41730</v>
      </c>
      <c r="B53" s="2">
        <f>2.76*(1/100)</f>
        <v>2.76E-2</v>
      </c>
      <c r="C53" s="2">
        <f>1.03*(1/100)</f>
        <v>1.03E-2</v>
      </c>
      <c r="D53" s="2">
        <v>1.1900000000000001E-2</v>
      </c>
      <c r="E53" s="2">
        <f>-3.75*(1/100)</f>
        <v>-3.7499999999999999E-2</v>
      </c>
      <c r="F53" s="2">
        <f>2.814*(1/100)</f>
        <v>2.8140000000000002E-2</v>
      </c>
    </row>
    <row r="54" spans="1:6" ht="14.25" customHeight="1" x14ac:dyDescent="0.3">
      <c r="A54" s="3">
        <v>41760</v>
      </c>
      <c r="B54" s="2">
        <f>3.89*(1/100)</f>
        <v>3.8900000000000004E-2</v>
      </c>
      <c r="C54" s="2">
        <f>1.22*(1/100)</f>
        <v>1.2200000000000001E-2</v>
      </c>
      <c r="D54" s="2">
        <v>2.01E-2</v>
      </c>
      <c r="E54" s="2">
        <f>0.79*(1/100)</f>
        <v>7.9000000000000008E-3</v>
      </c>
      <c r="F54" s="2">
        <f>2.669*(1/100)</f>
        <v>2.6690000000000002E-2</v>
      </c>
    </row>
    <row r="55" spans="1:6" ht="14.25" customHeight="1" x14ac:dyDescent="0.3">
      <c r="A55" s="3">
        <v>41791</v>
      </c>
      <c r="B55" s="2">
        <f>0.16*(1/100)</f>
        <v>1.6000000000000001E-3</v>
      </c>
      <c r="C55" s="2">
        <f>-0.28*(1/100)</f>
        <v>-2.8000000000000004E-3</v>
      </c>
      <c r="D55" s="2">
        <v>4.1999999999999997E-3</v>
      </c>
      <c r="E55" s="2">
        <f>5.27*(1/100)</f>
        <v>5.2699999999999997E-2</v>
      </c>
      <c r="F55" s="2">
        <f>2.484*(1/100)</f>
        <v>2.4840000000000001E-2</v>
      </c>
    </row>
    <row r="56" spans="1:6" ht="14.25" customHeight="1" x14ac:dyDescent="0.3">
      <c r="A56" s="3">
        <v>41821</v>
      </c>
      <c r="B56" s="2">
        <f>-0.14*(1/100)</f>
        <v>-1.4000000000000002E-3</v>
      </c>
      <c r="C56" s="2">
        <f>-0.6*(1/100)</f>
        <v>-6.0000000000000001E-3</v>
      </c>
      <c r="D56" s="2">
        <v>-1.44E-2</v>
      </c>
      <c r="E56" s="2">
        <f>-6.41*(1/100)</f>
        <v>-6.4100000000000004E-2</v>
      </c>
      <c r="F56" s="2">
        <f>2.354*(1/100)</f>
        <v>2.3540000000000002E-2</v>
      </c>
    </row>
    <row r="57" spans="1:6" ht="14.25" customHeight="1" x14ac:dyDescent="0.3">
      <c r="A57" s="3">
        <v>41852</v>
      </c>
      <c r="B57" s="2">
        <f>0.48*(1/100)</f>
        <v>4.7999999999999996E-3</v>
      </c>
      <c r="C57" s="2">
        <f>1.71*(1/100)</f>
        <v>1.7100000000000001E-2</v>
      </c>
      <c r="D57" s="2">
        <v>2.58E-2</v>
      </c>
      <c r="E57" s="2">
        <f>4.83*(1/100)</f>
        <v>4.8300000000000003E-2</v>
      </c>
      <c r="F57" s="2">
        <f>2.254*(1/100)</f>
        <v>2.2540000000000001E-2</v>
      </c>
    </row>
    <row r="58" spans="1:6" ht="14.25" customHeight="1" x14ac:dyDescent="0.3">
      <c r="A58" s="3">
        <v>41883</v>
      </c>
      <c r="B58" s="2">
        <f>-6.82*(1/100)</f>
        <v>-6.8200000000000011E-2</v>
      </c>
      <c r="C58" s="2">
        <f>-1.96*(1/100)</f>
        <v>-1.9599999999999999E-2</v>
      </c>
      <c r="D58" s="2">
        <v>-3.32E-2</v>
      </c>
      <c r="E58" s="2">
        <f>-6.19*(1/100)</f>
        <v>-6.1900000000000004E-2</v>
      </c>
      <c r="F58" s="2">
        <f>2.257*(1/100)</f>
        <v>2.2570000000000003E-2</v>
      </c>
    </row>
    <row r="59" spans="1:6" ht="14.25" customHeight="1" x14ac:dyDescent="0.3">
      <c r="A59" s="3">
        <v>41913</v>
      </c>
      <c r="B59" s="2">
        <f>4.23*(1/100)</f>
        <v>4.2300000000000004E-2</v>
      </c>
      <c r="C59" s="2">
        <f>0.95*(1/100)</f>
        <v>9.4999999999999998E-3</v>
      </c>
      <c r="D59" s="2">
        <v>1.21E-2</v>
      </c>
      <c r="E59" s="2">
        <f>6.59*(1/100)</f>
        <v>6.59E-2</v>
      </c>
      <c r="F59" s="2">
        <f>2.049*(1/100)</f>
        <v>2.0490000000000001E-2</v>
      </c>
    </row>
    <row r="60" spans="1:6" ht="14.25" customHeight="1" x14ac:dyDescent="0.3">
      <c r="A60" s="3">
        <v>41944</v>
      </c>
      <c r="B60" s="2">
        <f>-1.53*(1/100)</f>
        <v>-1.5300000000000001E-2</v>
      </c>
      <c r="C60" s="2">
        <f>0.63*(1/100)</f>
        <v>6.3E-3</v>
      </c>
      <c r="D60" s="2">
        <v>1.38E-2</v>
      </c>
      <c r="E60" s="2">
        <f>0.11*(1/100)</f>
        <v>1.1000000000000001E-3</v>
      </c>
      <c r="F60" s="2">
        <f>1.881*(1/100)</f>
        <v>1.881E-2</v>
      </c>
    </row>
    <row r="61" spans="1:6" ht="14.25" customHeight="1" x14ac:dyDescent="0.3">
      <c r="A61" s="3">
        <v>41974</v>
      </c>
      <c r="B61" s="2">
        <f>-2.56*(1/100)</f>
        <v>-2.5600000000000001E-2</v>
      </c>
      <c r="C61" s="2">
        <f>-0.57*(1/100)</f>
        <v>-5.6999999999999993E-3</v>
      </c>
      <c r="D61" s="2">
        <v>-3.1899999999999998E-2</v>
      </c>
      <c r="E61" s="2">
        <f>2.51*(1/100)</f>
        <v>2.5099999999999997E-2</v>
      </c>
      <c r="F61" s="2">
        <f>1.539*(1/100)</f>
        <v>1.5389999999999999E-2</v>
      </c>
    </row>
    <row r="62" spans="1:6" ht="14.25" customHeight="1" x14ac:dyDescent="0.3">
      <c r="A62" s="3">
        <v>42005</v>
      </c>
      <c r="B62" s="2">
        <f>2.9*(1/100)</f>
        <v>2.8999999999999998E-2</v>
      </c>
      <c r="C62" s="2">
        <f>3.75*(1/100)</f>
        <v>3.7499999999999999E-2</v>
      </c>
      <c r="D62" s="2">
        <v>-1.32E-2</v>
      </c>
      <c r="E62" s="2">
        <f>-3.28*(1/100)</f>
        <v>-3.2799999999999996E-2</v>
      </c>
      <c r="F62" s="2">
        <f>1.255*(1/100)</f>
        <v>1.2549999999999999E-2</v>
      </c>
    </row>
    <row r="63" spans="1:6" ht="14.25" customHeight="1" x14ac:dyDescent="0.3">
      <c r="A63" s="3">
        <v>42036</v>
      </c>
      <c r="B63" s="2">
        <f>3.07*(1/100)</f>
        <v>3.0699999999999998E-2</v>
      </c>
      <c r="C63" s="2">
        <f>-1.69*(1/100)</f>
        <v>-1.6899999999999998E-2</v>
      </c>
      <c r="D63" s="2">
        <v>5.5100000000000003E-2</v>
      </c>
      <c r="E63" s="2">
        <f>5.95*(1/100)</f>
        <v>5.9500000000000004E-2</v>
      </c>
      <c r="F63" s="2">
        <f>1.405*(1/100)</f>
        <v>1.405E-2</v>
      </c>
    </row>
    <row r="64" spans="1:6" ht="14.25" customHeight="1" x14ac:dyDescent="0.3">
      <c r="A64" s="3">
        <v>42064</v>
      </c>
      <c r="B64" s="2">
        <f>-2.54*(1/100)</f>
        <v>-2.5400000000000002E-2</v>
      </c>
      <c r="C64" s="2">
        <f>-0.07*(1/100)</f>
        <v>-7.000000000000001E-4</v>
      </c>
      <c r="D64" s="2">
        <v>-1.46E-2</v>
      </c>
      <c r="E64" s="2">
        <f>1.46*(1/100)</f>
        <v>1.46E-2</v>
      </c>
      <c r="F64" s="2">
        <f>1.415*(1/100)</f>
        <v>1.4150000000000001E-2</v>
      </c>
    </row>
    <row r="65" spans="1:6" ht="14.25" customHeight="1" x14ac:dyDescent="0.3">
      <c r="A65" s="3">
        <v>42095</v>
      </c>
      <c r="B65" s="2">
        <f>3.16*(1/100)</f>
        <v>3.1600000000000003E-2</v>
      </c>
      <c r="C65" s="2">
        <f>-1.45*(1/100)</f>
        <v>-1.4499999999999999E-2</v>
      </c>
      <c r="D65" s="2">
        <v>2.87E-2</v>
      </c>
      <c r="E65" s="2">
        <f>-2.56*(1/100)</f>
        <v>-2.5600000000000001E-2</v>
      </c>
      <c r="F65" s="2">
        <f>1.579*(1/100)</f>
        <v>1.5789999999999998E-2</v>
      </c>
    </row>
    <row r="66" spans="1:6" ht="14.25" customHeight="1" x14ac:dyDescent="0.3">
      <c r="A66" s="3">
        <v>42125</v>
      </c>
      <c r="B66" s="2">
        <f>-2.06*(1/100)</f>
        <v>-2.06E-2</v>
      </c>
      <c r="C66" s="2">
        <f>-1.39*(1/100)</f>
        <v>-1.3899999999999999E-2</v>
      </c>
      <c r="D66" s="2">
        <v>0</v>
      </c>
      <c r="E66" s="2">
        <f>2.24*(1/100)</f>
        <v>2.2400000000000003E-2</v>
      </c>
      <c r="F66" s="2">
        <f>1.525*(1/100)</f>
        <v>1.525E-2</v>
      </c>
    </row>
    <row r="67" spans="1:6" ht="14.25" customHeight="1" x14ac:dyDescent="0.3">
      <c r="A67" s="3">
        <v>42156</v>
      </c>
      <c r="B67" s="2">
        <f>-5.2*(1/100)</f>
        <v>-5.2000000000000005E-2</v>
      </c>
      <c r="C67" s="2">
        <f>-2.16*(1/100)</f>
        <v>-2.1600000000000001E-2</v>
      </c>
      <c r="D67" s="2">
        <v>-3.7100000000000001E-2</v>
      </c>
      <c r="E67" s="2">
        <f>0.78*(1/100)</f>
        <v>7.8000000000000005E-3</v>
      </c>
      <c r="F67" s="2">
        <f>1.857*(1/100)</f>
        <v>1.857E-2</v>
      </c>
    </row>
    <row r="68" spans="1:6" ht="14.25" customHeight="1" x14ac:dyDescent="0.3">
      <c r="A68" s="3">
        <v>42186</v>
      </c>
      <c r="B68" s="2">
        <f>0.71*(1/100)</f>
        <v>7.0999999999999995E-3</v>
      </c>
      <c r="C68" s="2">
        <f>0.54*(1/100)</f>
        <v>5.4000000000000003E-3</v>
      </c>
      <c r="D68" s="2">
        <v>8.2000000000000007E-3</v>
      </c>
      <c r="E68" s="2">
        <f>-1.52*(1/100)</f>
        <v>-1.52E-2</v>
      </c>
      <c r="F68" s="2">
        <f>1.569*(1/100)</f>
        <v>1.5689999999999999E-2</v>
      </c>
    </row>
    <row r="69" spans="1:6" ht="14.25" customHeight="1" x14ac:dyDescent="0.3">
      <c r="A69" s="3">
        <v>42217</v>
      </c>
      <c r="B69" s="2">
        <f>-5.71*(1/100)</f>
        <v>-5.7099999999999998E-2</v>
      </c>
      <c r="C69" s="2">
        <f>-1.11*(1/100)</f>
        <v>-1.11E-2</v>
      </c>
      <c r="D69" s="2">
        <v>-6.8099999999999994E-2</v>
      </c>
      <c r="E69" s="2">
        <f>-6.31*(1/100)</f>
        <v>-6.3100000000000003E-2</v>
      </c>
      <c r="F69" s="2">
        <f>1.504*(1/100)</f>
        <v>1.504E-2</v>
      </c>
    </row>
    <row r="70" spans="1:6" ht="14.25" customHeight="1" x14ac:dyDescent="0.3">
      <c r="A70" s="3">
        <v>42248</v>
      </c>
      <c r="B70" s="2">
        <f>-0.81*(1/100)</f>
        <v>-8.1000000000000013E-3</v>
      </c>
      <c r="C70" s="2">
        <f>0.9*(1/100)</f>
        <v>9.0000000000000011E-3</v>
      </c>
      <c r="D70" s="2">
        <v>-3.44E-2</v>
      </c>
      <c r="E70" s="2">
        <f>-5.21*(1/100)</f>
        <v>-5.21E-2</v>
      </c>
      <c r="F70" s="2">
        <f>1.474*(1/100)</f>
        <v>1.474E-2</v>
      </c>
    </row>
    <row r="71" spans="1:6" ht="14.25" customHeight="1" x14ac:dyDescent="0.3">
      <c r="A71" s="3">
        <v>42278</v>
      </c>
      <c r="B71" s="2">
        <f>4.78*(1/100)</f>
        <v>4.7800000000000002E-2</v>
      </c>
      <c r="C71" s="2">
        <f>0.28*(1/100)</f>
        <v>2.8000000000000004E-3</v>
      </c>
      <c r="D71" s="2">
        <v>7.6600000000000001E-2</v>
      </c>
      <c r="E71" s="2">
        <f>5.62*(1/100)</f>
        <v>5.62E-2</v>
      </c>
      <c r="F71" s="2">
        <f>1.592*(1/100)</f>
        <v>1.592E-2</v>
      </c>
    </row>
    <row r="72" spans="1:6" ht="14.25" customHeight="1" x14ac:dyDescent="0.3">
      <c r="A72" s="3">
        <v>42309</v>
      </c>
      <c r="B72" s="2">
        <f>-3.82*(1/100)</f>
        <v>-3.8199999999999998E-2</v>
      </c>
      <c r="C72" s="2">
        <f>-0.44*(1/100)</f>
        <v>-4.4000000000000003E-3</v>
      </c>
      <c r="D72" s="2">
        <v>-5.3E-3</v>
      </c>
      <c r="E72" s="2">
        <f>3.26*(1/100)</f>
        <v>3.2599999999999997E-2</v>
      </c>
      <c r="F72" s="2">
        <f>1.453*(1/100)</f>
        <v>1.4530000000000001E-2</v>
      </c>
    </row>
    <row r="73" spans="1:6" ht="14.25" customHeight="1" x14ac:dyDescent="0.3">
      <c r="A73" s="3">
        <v>42339</v>
      </c>
      <c r="B73" s="2">
        <f>-1.22*(1/100)</f>
        <v>-1.2200000000000001E-2</v>
      </c>
      <c r="C73" s="2">
        <f>-1.64*(1/100)</f>
        <v>-1.6399999999999998E-2</v>
      </c>
      <c r="D73" s="2">
        <v>-3.3599999999999998E-2</v>
      </c>
      <c r="E73" s="2">
        <f>-5.44*(1/100)</f>
        <v>-5.4400000000000004E-2</v>
      </c>
      <c r="F73" s="2">
        <f>1.482*(1/100)</f>
        <v>1.482E-2</v>
      </c>
    </row>
    <row r="74" spans="1:6" ht="14.25" customHeight="1" x14ac:dyDescent="0.3">
      <c r="A74" s="3">
        <v>42370</v>
      </c>
      <c r="B74" s="2">
        <f>-3.6*(1/100)</f>
        <v>-3.6000000000000004E-2</v>
      </c>
      <c r="C74" s="2">
        <f>0.12*(1/100)</f>
        <v>1.1999999999999999E-3</v>
      </c>
      <c r="D74" s="2">
        <v>-5.2999999999999999E-2</v>
      </c>
      <c r="E74" s="2">
        <f>-8.58*(1/100)</f>
        <v>-8.5800000000000001E-2</v>
      </c>
      <c r="F74" s="2">
        <f>1.349*(1/100)</f>
        <v>1.349E-2</v>
      </c>
    </row>
    <row r="75" spans="1:6" ht="14.25" customHeight="1" x14ac:dyDescent="0.3">
      <c r="A75" s="3">
        <v>42401</v>
      </c>
      <c r="B75" s="2">
        <f>0.37*(1/100)</f>
        <v>3.7000000000000002E-3</v>
      </c>
      <c r="C75" s="2">
        <f>0.75*(1/100)</f>
        <v>7.4999999999999997E-3</v>
      </c>
      <c r="D75" s="2">
        <v>-1.2500000000000001E-2</v>
      </c>
      <c r="E75" s="2">
        <f>-0.22*(1/100)</f>
        <v>-2.2000000000000001E-3</v>
      </c>
      <c r="F75" s="2">
        <f>1.357*(1/100)</f>
        <v>1.357E-2</v>
      </c>
    </row>
    <row r="76" spans="1:6" ht="14.25" customHeight="1" x14ac:dyDescent="0.3">
      <c r="A76" s="3">
        <v>42430</v>
      </c>
      <c r="B76" s="2">
        <f>8.3*(1/100)</f>
        <v>8.3000000000000004E-2</v>
      </c>
      <c r="C76" s="2">
        <f>3.31*(1/100)</f>
        <v>3.3100000000000004E-2</v>
      </c>
      <c r="D76" s="2">
        <v>7.3899999999999993E-2</v>
      </c>
      <c r="E76" s="2">
        <f>7.69*(1/100)</f>
        <v>7.690000000000001E-2</v>
      </c>
      <c r="F76" s="2">
        <f>1.211*(1/100)</f>
        <v>1.2110000000000001E-2</v>
      </c>
    </row>
    <row r="77" spans="1:6" ht="14.25" customHeight="1" x14ac:dyDescent="0.3">
      <c r="A77" s="3">
        <v>42461</v>
      </c>
      <c r="B77" s="2">
        <f>2.36*(1/100)</f>
        <v>2.3599999999999999E-2</v>
      </c>
      <c r="C77" s="2">
        <f>1.27*(1/100)</f>
        <v>1.2700000000000001E-2</v>
      </c>
      <c r="D77" s="2">
        <v>1.34E-2</v>
      </c>
      <c r="E77" s="2">
        <f>1.67*(1/100)</f>
        <v>1.67E-2</v>
      </c>
      <c r="F77" s="2">
        <f>1.504*(1/100)</f>
        <v>1.504E-2</v>
      </c>
    </row>
    <row r="78" spans="1:6" ht="14.25" customHeight="1" x14ac:dyDescent="0.3">
      <c r="A78" s="3">
        <v>42491</v>
      </c>
      <c r="B78" s="2">
        <f>-1.77*(1/100)</f>
        <v>-1.77E-2</v>
      </c>
      <c r="C78" s="2">
        <f>-0.78*(1/100)</f>
        <v>-7.8000000000000005E-3</v>
      </c>
      <c r="D78" s="2">
        <v>3.3E-3</v>
      </c>
      <c r="E78" s="2">
        <f>2.24*(1/100)</f>
        <v>2.2400000000000003E-2</v>
      </c>
      <c r="F78" s="2">
        <f>1.381*(1/100)</f>
        <v>1.3810000000000001E-2</v>
      </c>
    </row>
    <row r="79" spans="1:6" ht="14.25" customHeight="1" x14ac:dyDescent="0.3">
      <c r="A79" s="3">
        <v>42522</v>
      </c>
      <c r="B79" s="2">
        <f>-0.75*(1/100)</f>
        <v>-7.4999999999999997E-3</v>
      </c>
      <c r="C79" s="2">
        <f>2.8*(1/100)</f>
        <v>2.7999999999999997E-2</v>
      </c>
      <c r="D79" s="2">
        <v>-1.35E-2</v>
      </c>
      <c r="E79" s="2">
        <f>-0.02*(1/100)</f>
        <v>-2.0000000000000001E-4</v>
      </c>
      <c r="F79" s="2">
        <f>1.01*(1/100)</f>
        <v>1.01E-2</v>
      </c>
    </row>
    <row r="80" spans="1:6" ht="14.25" customHeight="1" x14ac:dyDescent="0.3">
      <c r="A80" s="3">
        <v>42552</v>
      </c>
      <c r="B80" s="2">
        <f>4.66*(1/100)</f>
        <v>4.6600000000000003E-2</v>
      </c>
      <c r="C80" s="2">
        <f>1.02*(1/100)</f>
        <v>1.0200000000000001E-2</v>
      </c>
      <c r="D80" s="2">
        <v>3.7699999999999997E-2</v>
      </c>
      <c r="E80" s="2">
        <f>5.3*(1/100)</f>
        <v>5.2999999999999999E-2</v>
      </c>
      <c r="F80" s="2">
        <f>0.986*(1/100)</f>
        <v>9.8600000000000007E-3</v>
      </c>
    </row>
    <row r="81" spans="1:6" ht="14.25" customHeight="1" x14ac:dyDescent="0.3">
      <c r="A81" s="3">
        <v>42583</v>
      </c>
      <c r="B81" s="2">
        <f>-1.18*(1/100)</f>
        <v>-1.18E-2</v>
      </c>
      <c r="C81" s="2">
        <f>-0.08*(1/100)</f>
        <v>-8.0000000000000004E-4</v>
      </c>
      <c r="D81" s="2">
        <v>3.3999999999999998E-3</v>
      </c>
      <c r="E81" s="2">
        <f>1.78*(1/100)</f>
        <v>1.78E-2</v>
      </c>
      <c r="F81" s="2">
        <f>1.083*(1/100)</f>
        <v>1.0829999999999999E-2</v>
      </c>
    </row>
    <row r="82" spans="1:6" ht="14.25" customHeight="1" x14ac:dyDescent="0.3">
      <c r="A82" s="3">
        <v>42614</v>
      </c>
      <c r="B82" s="2">
        <f>0.03*(1/100)</f>
        <v>2.9999999999999997E-4</v>
      </c>
      <c r="C82" s="2">
        <f>-0.57*(1/100)</f>
        <v>-5.6999999999999993E-3</v>
      </c>
      <c r="D82" s="2">
        <v>9.4000000000000004E-3</v>
      </c>
      <c r="E82" s="2">
        <f>0.8*(1/100)</f>
        <v>8.0000000000000002E-3</v>
      </c>
      <c r="F82" s="2">
        <f>1.211*(1/100)</f>
        <v>1.2110000000000001E-2</v>
      </c>
    </row>
    <row r="83" spans="1:6" ht="14.25" customHeight="1" x14ac:dyDescent="0.3">
      <c r="A83" s="3">
        <v>42644</v>
      </c>
      <c r="B83" s="2">
        <f>-5.8*(1/100)</f>
        <v>-5.7999999999999996E-2</v>
      </c>
      <c r="C83" s="2">
        <f>-1.79*(1/100)</f>
        <v>-1.7899999999999999E-2</v>
      </c>
      <c r="D83" s="2">
        <v>-1.9099999999999999E-2</v>
      </c>
      <c r="E83" s="2">
        <f>-4.6*(1/100)</f>
        <v>-4.5999999999999999E-2</v>
      </c>
      <c r="F83" s="2">
        <f>1.395*(1/100)</f>
        <v>1.3950000000000001E-2</v>
      </c>
    </row>
    <row r="84" spans="1:6" ht="14.25" customHeight="1" x14ac:dyDescent="0.3">
      <c r="A84" s="3">
        <v>42675</v>
      </c>
      <c r="B84" s="2">
        <f>-3.34*(1/100)</f>
        <v>-3.3399999999999999E-2</v>
      </c>
      <c r="C84" s="2">
        <f>-3.42*(1/100)</f>
        <v>-3.4200000000000001E-2</v>
      </c>
      <c r="D84" s="2">
        <v>1.04E-2</v>
      </c>
      <c r="E84" s="2">
        <f>11.06*(1/100)</f>
        <v>0.1106</v>
      </c>
      <c r="F84" s="2">
        <f>1.662*(1/100)</f>
        <v>1.6619999999999999E-2</v>
      </c>
    </row>
    <row r="85" spans="1:6" ht="14.25" customHeight="1" x14ac:dyDescent="0.3">
      <c r="A85" s="3">
        <v>42705</v>
      </c>
      <c r="B85" s="2">
        <f>-4.33*(1/100)</f>
        <v>-4.3299999999999998E-2</v>
      </c>
      <c r="C85" s="2">
        <f>0.29*(1/100)</f>
        <v>2.8999999999999998E-3</v>
      </c>
      <c r="D85" s="2">
        <v>1.0200000000000001E-2</v>
      </c>
      <c r="E85" s="2">
        <f>2.46*(1/100)</f>
        <v>2.46E-2</v>
      </c>
      <c r="F85" s="2">
        <f>1.656*(1/100)</f>
        <v>1.6559999999999998E-2</v>
      </c>
    </row>
    <row r="86" spans="1:6" ht="14.25" customHeight="1" x14ac:dyDescent="0.3">
      <c r="A86" s="3">
        <v>42736</v>
      </c>
      <c r="B86" s="2">
        <f>1.98*(1/100)</f>
        <v>1.9800000000000002E-2</v>
      </c>
      <c r="C86" s="2">
        <f>0.15*(1/100)</f>
        <v>1.5E-3</v>
      </c>
      <c r="D86" s="2">
        <v>2.9100000000000001E-2</v>
      </c>
      <c r="E86" s="2">
        <f>0.28*(1/100)</f>
        <v>2.8000000000000004E-3</v>
      </c>
      <c r="F86" s="2">
        <f>1.715*(1/100)</f>
        <v>1.7150000000000002E-2</v>
      </c>
    </row>
    <row r="87" spans="1:6" ht="14.25" customHeight="1" x14ac:dyDescent="0.3">
      <c r="A87" s="3">
        <v>42767</v>
      </c>
      <c r="B87" s="2">
        <f>2.69*(1/100)</f>
        <v>2.69E-2</v>
      </c>
      <c r="C87" s="2">
        <f>1.05*(1/100)</f>
        <v>1.0500000000000001E-2</v>
      </c>
      <c r="D87" s="2">
        <v>2.5100000000000001E-2</v>
      </c>
      <c r="E87" s="2">
        <f>1.93*(1/100)</f>
        <v>1.9300000000000001E-2</v>
      </c>
      <c r="F87" s="2">
        <f>1.626*(1/100)</f>
        <v>1.626E-2</v>
      </c>
    </row>
    <row r="88" spans="1:6" ht="14.25" customHeight="1" x14ac:dyDescent="0.3">
      <c r="A88" s="3">
        <v>42795</v>
      </c>
      <c r="B88" s="2">
        <f>-0.22*(1/100)</f>
        <v>-2.2000000000000001E-3</v>
      </c>
      <c r="C88" s="2">
        <f>-0.57*(1/100)</f>
        <v>-5.6999999999999993E-3</v>
      </c>
      <c r="D88" s="2">
        <v>1.35E-2</v>
      </c>
      <c r="E88" s="2">
        <f>-0.26*(1/100)</f>
        <v>-2.6000000000000003E-3</v>
      </c>
      <c r="F88" s="2">
        <f>1.655*(1/100)</f>
        <v>1.6550000000000002E-2</v>
      </c>
    </row>
    <row r="89" spans="1:6" ht="14.25" customHeight="1" x14ac:dyDescent="0.3">
      <c r="A89" s="3">
        <v>42826</v>
      </c>
      <c r="B89" s="2">
        <f>2.4*(1/100)</f>
        <v>2.4E-2</v>
      </c>
      <c r="C89" s="2">
        <f>0.92*(1/100)</f>
        <v>9.1999999999999998E-3</v>
      </c>
      <c r="D89" s="2">
        <v>1.61E-2</v>
      </c>
      <c r="E89" s="2">
        <f>1.15*(1/100)</f>
        <v>1.15E-2</v>
      </c>
      <c r="F89" s="2">
        <f>1.636*(1/100)</f>
        <v>1.636E-2</v>
      </c>
    </row>
    <row r="90" spans="1:6" ht="14.25" customHeight="1" x14ac:dyDescent="0.3">
      <c r="A90" s="3">
        <v>42856</v>
      </c>
      <c r="B90" s="2">
        <f>2.92*(1/100)</f>
        <v>2.92E-2</v>
      </c>
      <c r="C90" s="2">
        <f>1.06*(1/100)</f>
        <v>1.06E-2</v>
      </c>
      <c r="D90" s="2">
        <v>2.2100000000000002E-2</v>
      </c>
      <c r="E90" s="2">
        <f>-1.97*(1/100)</f>
        <v>-1.9699999999999999E-2</v>
      </c>
      <c r="F90" s="2">
        <f>1.515*(1/100)</f>
        <v>1.5149999999999999E-2</v>
      </c>
    </row>
    <row r="91" spans="1:6" ht="14.25" customHeight="1" x14ac:dyDescent="0.3">
      <c r="A91" s="3">
        <v>42887</v>
      </c>
      <c r="B91" s="2">
        <f>-1.59*(1/100)</f>
        <v>-1.5900000000000001E-2</v>
      </c>
      <c r="C91" s="2">
        <f>0.22*(1/100)</f>
        <v>2.2000000000000001E-3</v>
      </c>
      <c r="D91" s="2">
        <v>-3.2000000000000002E-3</v>
      </c>
      <c r="E91" s="2">
        <f>3.37*(1/100)</f>
        <v>3.3700000000000001E-2</v>
      </c>
      <c r="F91" s="2">
        <f>1.655*(1/100)</f>
        <v>1.6550000000000002E-2</v>
      </c>
    </row>
    <row r="92" spans="1:6" ht="14.25" customHeight="1" x14ac:dyDescent="0.3">
      <c r="A92" s="3">
        <v>42917</v>
      </c>
      <c r="B92" s="2">
        <f>2.88*(1/100)</f>
        <v>2.8799999999999999E-2</v>
      </c>
      <c r="C92" s="2">
        <f>0.5*(1/100)</f>
        <v>5.0000000000000001E-3</v>
      </c>
      <c r="D92" s="2">
        <v>2.7300000000000001E-2</v>
      </c>
      <c r="E92" s="2">
        <f>0.42*(1/100)</f>
        <v>4.1999999999999997E-3</v>
      </c>
      <c r="F92" s="2">
        <f>1.666*(1/100)</f>
        <v>1.6660000000000001E-2</v>
      </c>
    </row>
    <row r="93" spans="1:6" ht="14.25" customHeight="1" x14ac:dyDescent="0.3">
      <c r="A93" s="3">
        <v>42948</v>
      </c>
      <c r="B93" s="2">
        <f>0.96*(1/100)</f>
        <v>9.5999999999999992E-3</v>
      </c>
      <c r="C93" s="2">
        <f>0.41*(1/100)</f>
        <v>4.0999999999999995E-3</v>
      </c>
      <c r="D93" s="2">
        <v>4.0000000000000001E-3</v>
      </c>
      <c r="E93" s="2">
        <f>-1.26*(1/100)</f>
        <v>-1.26E-2</v>
      </c>
      <c r="F93" s="2">
        <f>1.553*(1/100)</f>
        <v>1.553E-2</v>
      </c>
    </row>
    <row r="94" spans="1:6" ht="14.25" customHeight="1" x14ac:dyDescent="0.3">
      <c r="A94" s="3">
        <v>42979</v>
      </c>
      <c r="B94" s="2">
        <f>-1.39*(1/100)</f>
        <v>-1.3899999999999999E-2</v>
      </c>
      <c r="C94" s="2">
        <f>-0.31*(1/100)</f>
        <v>-3.0999999999999999E-3</v>
      </c>
      <c r="D94" s="2">
        <v>1.8800000000000001E-2</v>
      </c>
      <c r="E94" s="2">
        <f>6.05*(1/100)</f>
        <v>6.0499999999999998E-2</v>
      </c>
      <c r="F94" s="2">
        <f>1.606*(1/100)</f>
        <v>1.6060000000000001E-2</v>
      </c>
    </row>
    <row r="95" spans="1:6" ht="14.25" customHeight="1" x14ac:dyDescent="0.3">
      <c r="A95" s="3">
        <v>43009</v>
      </c>
      <c r="B95" s="2">
        <f>0.17*(1/100)</f>
        <v>1.7000000000000001E-3</v>
      </c>
      <c r="C95" s="2">
        <f>-0.07*(1/100)</f>
        <v>-7.000000000000001E-4</v>
      </c>
      <c r="D95" s="2">
        <v>2.1499999999999998E-2</v>
      </c>
      <c r="E95" s="2">
        <f>0.73*(1/100)</f>
        <v>7.3000000000000001E-3</v>
      </c>
      <c r="F95" s="2">
        <f>1.628*(1/100)</f>
        <v>1.6279999999999999E-2</v>
      </c>
    </row>
    <row r="96" spans="1:6" ht="14.25" customHeight="1" x14ac:dyDescent="0.3">
      <c r="A96" s="3">
        <v>43040</v>
      </c>
      <c r="B96" s="2">
        <f>2.67*(1/100)</f>
        <v>2.6700000000000002E-2</v>
      </c>
      <c r="C96" s="2">
        <f>-0.39*(1/100)</f>
        <v>-3.9000000000000003E-3</v>
      </c>
      <c r="D96" s="2">
        <v>2.0199999999999999E-2</v>
      </c>
      <c r="E96" s="2">
        <f>2.94*(1/100)</f>
        <v>2.9399999999999999E-2</v>
      </c>
      <c r="F96" s="2">
        <f>1.51*(1/100)</f>
        <v>1.5100000000000001E-2</v>
      </c>
    </row>
    <row r="97" spans="1:6" ht="14.25" customHeight="1" x14ac:dyDescent="0.3">
      <c r="A97" s="3">
        <v>43070</v>
      </c>
      <c r="B97" s="2">
        <f>0*(1/100)</f>
        <v>0</v>
      </c>
      <c r="C97" s="2">
        <f>0.74*(1/100)</f>
        <v>7.4000000000000003E-3</v>
      </c>
      <c r="D97" s="2">
        <v>5.1999999999999998E-3</v>
      </c>
      <c r="E97" s="2">
        <f>-0.77*(1/100)</f>
        <v>-7.7000000000000002E-3</v>
      </c>
      <c r="F97" s="2">
        <f>1.61*(1/100)</f>
        <v>1.61E-2</v>
      </c>
    </row>
    <row r="98" spans="1:6" ht="14.25" customHeight="1" x14ac:dyDescent="0.3">
      <c r="A98" s="3">
        <v>43101</v>
      </c>
      <c r="B98" s="2">
        <f>4.6*(1/100)</f>
        <v>4.5999999999999999E-2</v>
      </c>
      <c r="C98" s="2">
        <f>-1.23*(1/100)</f>
        <v>-1.23E-2</v>
      </c>
      <c r="D98" s="2">
        <v>5.7000000000000002E-2</v>
      </c>
      <c r="E98" s="2">
        <f>2.56*(1/100)</f>
        <v>2.5600000000000001E-2</v>
      </c>
      <c r="F98" s="2">
        <f>1.817*(1/100)</f>
        <v>1.8169999999999999E-2</v>
      </c>
    </row>
    <row r="99" spans="1:6" ht="14.25" customHeight="1" x14ac:dyDescent="0.3">
      <c r="A99" s="3">
        <v>43132</v>
      </c>
      <c r="B99" s="2">
        <f>-6.69*(1/100)</f>
        <v>-6.6900000000000001E-2</v>
      </c>
      <c r="C99" s="2">
        <f>-2.5*(1/100)</f>
        <v>-2.5000000000000001E-2</v>
      </c>
      <c r="D99" s="2">
        <v>-4.48E-2</v>
      </c>
      <c r="E99" s="2">
        <f>-3.84*(1/100)</f>
        <v>-3.8399999999999997E-2</v>
      </c>
      <c r="F99" s="2">
        <f>1.959*(1/100)</f>
        <v>1.959E-2</v>
      </c>
    </row>
    <row r="100" spans="1:6" ht="14.25" customHeight="1" x14ac:dyDescent="0.3">
      <c r="A100" s="3">
        <v>43160</v>
      </c>
      <c r="B100" s="2">
        <f>1.54*(1/100)</f>
        <v>1.54E-2</v>
      </c>
      <c r="C100" s="2">
        <f>0.27*(1/100)</f>
        <v>2.7000000000000001E-3</v>
      </c>
      <c r="D100" s="2">
        <v>-1.4999999999999999E-2</v>
      </c>
      <c r="E100" s="2">
        <f t="shared" ref="E100:E101" si="1">0.98*(1/100)</f>
        <v>9.7999999999999997E-3</v>
      </c>
      <c r="F100" s="2">
        <f>1.884*(1/100)</f>
        <v>1.8839999999999999E-2</v>
      </c>
    </row>
    <row r="101" spans="1:6" ht="14.25" customHeight="1" x14ac:dyDescent="0.3">
      <c r="A101" s="3">
        <v>43191</v>
      </c>
      <c r="B101" s="2">
        <f>1.72*(1/100)</f>
        <v>1.72E-2</v>
      </c>
      <c r="C101" s="2">
        <f>-1.85*(1/100)</f>
        <v>-1.8500000000000003E-2</v>
      </c>
      <c r="D101" s="2">
        <v>4.0000000000000001E-3</v>
      </c>
      <c r="E101" s="2">
        <f t="shared" si="1"/>
        <v>9.7999999999999997E-3</v>
      </c>
      <c r="F101" s="2">
        <f>1.877*(1/100)</f>
        <v>1.8770000000000002E-2</v>
      </c>
    </row>
    <row r="102" spans="1:6" ht="14.25" customHeight="1" x14ac:dyDescent="0.3">
      <c r="A102" s="3">
        <v>43221</v>
      </c>
      <c r="B102" s="2">
        <f>-0.83*(1/100)</f>
        <v>-8.3000000000000001E-3</v>
      </c>
      <c r="C102" s="2">
        <f>0.23*(1/100)</f>
        <v>2.3E-3</v>
      </c>
      <c r="D102" s="2">
        <v>4.7000000000000002E-3</v>
      </c>
      <c r="E102" s="2">
        <f>6.16*(1/100)</f>
        <v>6.1600000000000002E-2</v>
      </c>
      <c r="F102" s="2">
        <f>1.76*(1/100)</f>
        <v>1.7600000000000001E-2</v>
      </c>
    </row>
    <row r="103" spans="1:6" ht="14.25" customHeight="1" x14ac:dyDescent="0.3">
      <c r="A103" s="3">
        <v>43252</v>
      </c>
      <c r="B103" s="2">
        <f>-2.7*(1/100)</f>
        <v>-2.7000000000000003E-2</v>
      </c>
      <c r="C103" s="2">
        <f>-0.8*(1/100)</f>
        <v>-8.0000000000000002E-3</v>
      </c>
      <c r="D103" s="2">
        <v>-1.67E-2</v>
      </c>
      <c r="E103" s="2">
        <f>0.61*(1/100)</f>
        <v>6.1000000000000004E-3</v>
      </c>
      <c r="F103" s="2">
        <f>1.796*(1/100)</f>
        <v>1.796E-2</v>
      </c>
    </row>
    <row r="104" spans="1:6" ht="14.25" customHeight="1" x14ac:dyDescent="0.3">
      <c r="A104" s="3">
        <v>43282</v>
      </c>
      <c r="B104" s="2">
        <f>1.3*(1/100)</f>
        <v>1.3000000000000001E-2</v>
      </c>
      <c r="C104" s="2">
        <f>1.04*(1/100)</f>
        <v>1.0400000000000001E-2</v>
      </c>
      <c r="D104" s="2">
        <v>3.0700000000000002E-2</v>
      </c>
      <c r="E104" s="2">
        <f>1.28*(1/100)</f>
        <v>1.2800000000000001E-2</v>
      </c>
      <c r="F104" s="2">
        <f>1.886*(1/100)</f>
        <v>1.8859999999999998E-2</v>
      </c>
    </row>
    <row r="105" spans="1:6" ht="14.25" customHeight="1" x14ac:dyDescent="0.3">
      <c r="A105" s="3">
        <v>43313</v>
      </c>
      <c r="B105" s="2">
        <f>-1.32*(1/100)</f>
        <v>-1.3200000000000002E-2</v>
      </c>
      <c r="C105" s="2">
        <f>-0.28*(1/100)</f>
        <v>-2.8000000000000004E-3</v>
      </c>
      <c r="D105" s="2">
        <v>7.0000000000000001E-3</v>
      </c>
      <c r="E105" s="2">
        <f>4.31*(1/100)</f>
        <v>4.3099999999999999E-2</v>
      </c>
      <c r="F105" s="2">
        <f>1.77*(1/100)</f>
        <v>1.77E-2</v>
      </c>
    </row>
    <row r="106" spans="1:6" ht="14.25" customHeight="1" x14ac:dyDescent="0.3">
      <c r="A106" s="3">
        <v>43344</v>
      </c>
      <c r="B106" s="2">
        <f>-1.78*(1/100)</f>
        <v>-1.78E-2</v>
      </c>
      <c r="C106" s="2">
        <f>-0.44*(1/100)</f>
        <v>-4.4000000000000003E-3</v>
      </c>
      <c r="D106" s="2">
        <v>6.1000000000000004E-3</v>
      </c>
      <c r="E106" s="2">
        <f>-2.58*(1/100)</f>
        <v>-2.58E-2</v>
      </c>
      <c r="F106" s="2">
        <f>1.935*(1/100)</f>
        <v>1.9350000000000003E-2</v>
      </c>
    </row>
    <row r="107" spans="1:6" ht="14.25" customHeight="1" x14ac:dyDescent="0.3">
      <c r="A107" s="3">
        <v>43374</v>
      </c>
      <c r="B107" s="2">
        <f>-5.2*(1/100)</f>
        <v>-5.2000000000000005E-2</v>
      </c>
      <c r="C107" s="2">
        <f>-2.35*(1/100)</f>
        <v>-2.35E-2</v>
      </c>
      <c r="D107" s="2">
        <v>-7.4300000000000005E-2</v>
      </c>
      <c r="E107" s="2">
        <f>-10.99*(1/100)</f>
        <v>-0.1099</v>
      </c>
      <c r="F107" s="2">
        <f>1.944*(1/100)</f>
        <v>1.9439999999999999E-2</v>
      </c>
    </row>
    <row r="108" spans="1:6" ht="14.25" customHeight="1" x14ac:dyDescent="0.3">
      <c r="A108" s="3">
        <v>43405</v>
      </c>
      <c r="B108" s="2">
        <f>3.17*(1/100)</f>
        <v>3.1699999999999999E-2</v>
      </c>
      <c r="C108" s="2">
        <f>-0.69*(1/100)</f>
        <v>-6.8999999999999999E-3</v>
      </c>
      <c r="D108" s="2">
        <v>1.5900000000000001E-2</v>
      </c>
      <c r="E108" s="2">
        <f>1.73*(1/100)</f>
        <v>1.7299999999999999E-2</v>
      </c>
      <c r="F108" s="2">
        <f>1.82*(1/100)</f>
        <v>1.8200000000000001E-2</v>
      </c>
    </row>
    <row r="109" spans="1:6" ht="14.25" customHeight="1" x14ac:dyDescent="0.3">
      <c r="A109" s="3">
        <v>43435</v>
      </c>
      <c r="B109" s="2">
        <f>-3.53*(1/100)</f>
        <v>-3.5299999999999998E-2</v>
      </c>
      <c r="C109" s="2">
        <f>1.22*(1/100)</f>
        <v>1.2200000000000001E-2</v>
      </c>
      <c r="D109" s="2">
        <v>-8.1199999999999994E-2</v>
      </c>
      <c r="E109" s="2">
        <f>-12.27*(1/100)</f>
        <v>-0.1227</v>
      </c>
      <c r="F109" s="2">
        <f>1.77*(1/100)</f>
        <v>1.77E-2</v>
      </c>
    </row>
    <row r="110" spans="1:6" ht="14.25" customHeight="1" x14ac:dyDescent="0.3">
      <c r="A110" s="3">
        <v>43466</v>
      </c>
      <c r="B110" s="2">
        <f>9.69*(1/100)</f>
        <v>9.69E-2</v>
      </c>
      <c r="C110" s="2">
        <f>3.37*(1/100)</f>
        <v>3.3700000000000001E-2</v>
      </c>
      <c r="D110" s="2">
        <v>8.0399999999999999E-2</v>
      </c>
      <c r="E110" s="2">
        <f>11.32*(1/100)</f>
        <v>0.11320000000000001</v>
      </c>
      <c r="F110" s="2">
        <f>1.729*(1/100)</f>
        <v>1.729E-2</v>
      </c>
    </row>
    <row r="111" spans="1:6" ht="14.25" customHeight="1" x14ac:dyDescent="0.3">
      <c r="A111" s="3">
        <v>43497</v>
      </c>
      <c r="B111" s="2">
        <f>-0.98*(1/100)</f>
        <v>-9.7999999999999997E-3</v>
      </c>
      <c r="C111" s="2">
        <f>-0.51*(1/100)</f>
        <v>-5.1000000000000004E-3</v>
      </c>
      <c r="D111" s="2">
        <v>2.47E-2</v>
      </c>
      <c r="E111" s="2">
        <f>5.18*(1/100)</f>
        <v>5.1799999999999999E-2</v>
      </c>
      <c r="F111" s="2">
        <f>1.742*(1/100)</f>
        <v>1.7420000000000001E-2</v>
      </c>
    </row>
    <row r="112" spans="1:6" ht="14.25" customHeight="1" x14ac:dyDescent="0.3">
      <c r="A112" s="3">
        <v>43525</v>
      </c>
      <c r="B112" s="2">
        <f>3.54*(1/100)</f>
        <v>3.5400000000000001E-2</v>
      </c>
      <c r="C112" s="2">
        <f>2.61*(1/100)</f>
        <v>2.6099999999999998E-2</v>
      </c>
      <c r="D112" s="2">
        <v>1.5800000000000002E-2</v>
      </c>
      <c r="E112" s="2">
        <f>-2.35*(1/100)</f>
        <v>-2.35E-2</v>
      </c>
      <c r="F112" s="2">
        <f>1.632*(1/100)</f>
        <v>1.6319999999999998E-2</v>
      </c>
    </row>
    <row r="113" spans="1:6" ht="14.25" customHeight="1" x14ac:dyDescent="0.3">
      <c r="A113" s="3">
        <v>43556</v>
      </c>
      <c r="B113" s="2">
        <f>-2.5*(1/100)</f>
        <v>-2.5000000000000001E-2</v>
      </c>
      <c r="C113" s="2">
        <f>0.13*(1/100)</f>
        <v>1.3000000000000002E-3</v>
      </c>
      <c r="D113" s="2">
        <v>3.4200000000000001E-2</v>
      </c>
      <c r="E113" s="2">
        <f>3.4*(1/100)</f>
        <v>3.4000000000000002E-2</v>
      </c>
      <c r="F113" s="2">
        <f>1.755*(1/100)</f>
        <v>1.755E-2</v>
      </c>
    </row>
    <row r="114" spans="1:6" ht="14.25" customHeight="1" x14ac:dyDescent="0.3">
      <c r="A114" s="3">
        <v>43586</v>
      </c>
      <c r="B114" s="2">
        <f>-0.44*(1/100)</f>
        <v>-4.4000000000000003E-3</v>
      </c>
      <c r="C114" s="2">
        <f>1.35*(1/100)</f>
        <v>1.3500000000000002E-2</v>
      </c>
      <c r="D114" s="2">
        <v>-6.0699999999999997E-2</v>
      </c>
      <c r="E114" s="2">
        <f>-7.85*(1/100)</f>
        <v>-7.85E-2</v>
      </c>
      <c r="F114" s="2">
        <f>1.574*(1/100)</f>
        <v>1.5740000000000001E-2</v>
      </c>
    </row>
    <row r="115" spans="1:6" ht="14.25" customHeight="1" x14ac:dyDescent="0.3">
      <c r="A115" s="3">
        <v>43617</v>
      </c>
      <c r="B115" s="2">
        <f>1.02*(1/100)</f>
        <v>1.0200000000000001E-2</v>
      </c>
      <c r="C115" s="2">
        <f>2.93*(1/100)</f>
        <v>2.9300000000000003E-2</v>
      </c>
      <c r="D115" s="2">
        <v>5.16E-2</v>
      </c>
      <c r="E115" s="2">
        <f>6.61*(1/100)</f>
        <v>6.6100000000000006E-2</v>
      </c>
      <c r="F115" s="2">
        <f>1.459*(1/100)</f>
        <v>1.4590000000000001E-2</v>
      </c>
    </row>
    <row r="116" spans="1:6" ht="14.25" customHeight="1" x14ac:dyDescent="0.3">
      <c r="A116" s="3">
        <v>43647</v>
      </c>
      <c r="B116" s="2">
        <f>-1.74*(1/100)</f>
        <v>-1.7399999999999999E-2</v>
      </c>
      <c r="C116" s="2">
        <f>-0.03*(1/100)</f>
        <v>-2.9999999999999997E-4</v>
      </c>
      <c r="D116" s="2">
        <v>6.9999999999999999E-4</v>
      </c>
      <c r="E116" s="2">
        <f>0.68*(1/100)</f>
        <v>6.8000000000000005E-3</v>
      </c>
      <c r="F116" s="2">
        <f>1.409*(1/100)</f>
        <v>1.409E-2</v>
      </c>
    </row>
    <row r="117" spans="1:6" ht="14.25" customHeight="1" x14ac:dyDescent="0.3">
      <c r="A117" s="3">
        <v>43678</v>
      </c>
      <c r="B117" s="2">
        <f>1.3*(1/100)</f>
        <v>1.3000000000000001E-2</v>
      </c>
      <c r="C117" s="2">
        <f>3.6*(1/100)</f>
        <v>3.6000000000000004E-2</v>
      </c>
      <c r="D117" s="2">
        <v>-2.2100000000000002E-2</v>
      </c>
      <c r="E117" s="2">
        <f>-4.93*(1/100)</f>
        <v>-4.9299999999999997E-2</v>
      </c>
      <c r="F117" s="2">
        <f>1.161*(1/100)</f>
        <v>1.1610000000000001E-2</v>
      </c>
    </row>
    <row r="118" spans="1:6" ht="14.25" customHeight="1" x14ac:dyDescent="0.3">
      <c r="A118" s="3">
        <v>43709</v>
      </c>
      <c r="B118" s="2">
        <f>0*(1/100)</f>
        <v>0</v>
      </c>
      <c r="C118" s="2">
        <f>-1.02*(1/100)</f>
        <v>-1.0200000000000001E-2</v>
      </c>
      <c r="D118" s="2">
        <v>2.2499999999999999E-2</v>
      </c>
      <c r="E118" s="2">
        <f>1.68*(1/100)</f>
        <v>1.6799999999999999E-2</v>
      </c>
      <c r="F118" s="2">
        <f>1.239*(1/100)</f>
        <v>1.2390000000000002E-2</v>
      </c>
    </row>
    <row r="119" spans="1:6" ht="14.25" customHeight="1" x14ac:dyDescent="0.3">
      <c r="A119" s="3">
        <v>43739</v>
      </c>
      <c r="B119" s="2">
        <f>3.07*(1/100)</f>
        <v>3.0699999999999998E-2</v>
      </c>
      <c r="C119" s="2">
        <f>0.18*(1/100)</f>
        <v>1.8E-3</v>
      </c>
      <c r="D119" s="2">
        <v>2.7400000000000001E-2</v>
      </c>
      <c r="E119" s="2">
        <f>2.72*(1/100)</f>
        <v>2.7200000000000002E-2</v>
      </c>
      <c r="F119" s="2">
        <f>1.391*(1/100)</f>
        <v>1.391E-2</v>
      </c>
    </row>
    <row r="120" spans="1:6" ht="14.25" customHeight="1" x14ac:dyDescent="0.3">
      <c r="A120" s="3">
        <v>43770</v>
      </c>
      <c r="B120" s="2">
        <f>-0.29*(1/100)</f>
        <v>-2.8999999999999998E-3</v>
      </c>
      <c r="C120" s="2">
        <f>0.2*(1/100)</f>
        <v>2E-3</v>
      </c>
      <c r="D120" s="2">
        <v>2.3400000000000001E-2</v>
      </c>
      <c r="E120" s="2">
        <f>4.07*(1/100)</f>
        <v>4.0700000000000007E-2</v>
      </c>
      <c r="F120" s="2">
        <f>1.404*(1/100)</f>
        <v>1.4039999999999999E-2</v>
      </c>
    </row>
    <row r="121" spans="1:6" ht="14.25" customHeight="1" x14ac:dyDescent="0.3">
      <c r="A121" s="3">
        <v>43800</v>
      </c>
      <c r="B121" s="2">
        <f>-0.95*(1/100)</f>
        <v>-9.4999999999999998E-3</v>
      </c>
      <c r="C121" s="2">
        <f>-0.01*(1/100)</f>
        <v>-1E-4</v>
      </c>
      <c r="D121" s="2">
        <v>2.2100000000000002E-2</v>
      </c>
      <c r="E121" s="2">
        <f>2.41*(1/100)</f>
        <v>2.4100000000000003E-2</v>
      </c>
      <c r="F121" s="2">
        <f>1.576*(1/100)</f>
        <v>1.576E-2</v>
      </c>
    </row>
    <row r="122" spans="1:6" ht="14.25" customHeight="1" x14ac:dyDescent="0.3">
      <c r="A122" s="3">
        <v>43831</v>
      </c>
      <c r="B122" s="2">
        <f>-0.13*(1/100)</f>
        <v>-1.3000000000000002E-3</v>
      </c>
      <c r="C122" s="2">
        <f>2.45*(1/100)</f>
        <v>2.4500000000000001E-2</v>
      </c>
      <c r="D122" s="2">
        <v>-1.44E-2</v>
      </c>
      <c r="E122" s="2">
        <f>-3.1*(1/100)</f>
        <v>-3.1000000000000003E-2</v>
      </c>
      <c r="F122" s="2">
        <f>1.344*(1/100)</f>
        <v>1.3440000000000001E-2</v>
      </c>
    </row>
    <row r="123" spans="1:6" ht="14.25" customHeight="1" x14ac:dyDescent="0.3">
      <c r="A123" s="3">
        <v>43862</v>
      </c>
      <c r="B123" s="2">
        <f>-7.86*(1/100)</f>
        <v>-7.8600000000000003E-2</v>
      </c>
      <c r="C123" s="2">
        <f>0.83*(1/100)</f>
        <v>8.3000000000000001E-3</v>
      </c>
      <c r="D123" s="2">
        <v>-7.4899999999999994E-2</v>
      </c>
      <c r="E123" s="2">
        <f>-8.85*(1/100)</f>
        <v>-8.8499999999999995E-2</v>
      </c>
      <c r="F123" s="2">
        <f>1.145*(1/100)</f>
        <v>1.145E-2</v>
      </c>
    </row>
    <row r="124" spans="1:6" ht="14.25" customHeight="1" x14ac:dyDescent="0.3">
      <c r="A124" s="3">
        <v>43891</v>
      </c>
      <c r="B124" s="2">
        <f>-22.2*(1/100)</f>
        <v>-0.222</v>
      </c>
      <c r="C124" s="2">
        <f>-6.56*(1/100)</f>
        <v>-6.5599999999999992E-2</v>
      </c>
      <c r="D124" s="2">
        <v>-0.1341</v>
      </c>
      <c r="E124" s="2">
        <f>-21.78*(1/100)</f>
        <v>-0.21780000000000002</v>
      </c>
      <c r="F124" s="2">
        <f>0.93*(1/100)</f>
        <v>9.300000000000001E-3</v>
      </c>
    </row>
    <row r="125" spans="1:6" ht="14.25" customHeight="1" x14ac:dyDescent="0.3">
      <c r="A125" s="3">
        <v>43922</v>
      </c>
      <c r="B125" s="2">
        <f>4.95*(1/100)</f>
        <v>4.9500000000000002E-2</v>
      </c>
      <c r="C125" s="2">
        <f>4.58*(1/100)</f>
        <v>4.58E-2</v>
      </c>
      <c r="D125" s="2">
        <v>9.8299999999999998E-2</v>
      </c>
      <c r="E125" s="2">
        <f>13.85*(1/100)</f>
        <v>0.13850000000000001</v>
      </c>
      <c r="F125" s="2">
        <f>0.65*(1/100)</f>
        <v>6.5000000000000006E-3</v>
      </c>
    </row>
    <row r="126" spans="1:6" ht="14.25" customHeight="1" x14ac:dyDescent="0.3">
      <c r="A126" s="3">
        <v>43952</v>
      </c>
      <c r="B126" s="2">
        <f>0.97*(1/100)</f>
        <v>9.7000000000000003E-3</v>
      </c>
      <c r="C126" s="2">
        <f>2.21*(1/100)</f>
        <v>2.2100000000000002E-2</v>
      </c>
      <c r="D126" s="2">
        <v>5.0900000000000001E-2</v>
      </c>
      <c r="E126" s="2">
        <f>6.59*(1/100)</f>
        <v>6.59E-2</v>
      </c>
      <c r="F126" s="2">
        <f>0.607*(1/100)</f>
        <v>6.0699999999999999E-3</v>
      </c>
    </row>
    <row r="127" spans="1:6" ht="14.25" customHeight="1" x14ac:dyDescent="0.3">
      <c r="A127" s="3">
        <v>43983</v>
      </c>
      <c r="B127" s="2">
        <f>1.13*(1/100)</f>
        <v>1.1299999999999999E-2</v>
      </c>
      <c r="C127" s="2">
        <f>1.88*(1/100)</f>
        <v>1.8800000000000001E-2</v>
      </c>
      <c r="D127" s="2">
        <v>2.0799999999999999E-2</v>
      </c>
      <c r="E127" s="2">
        <f>3.08*(1/100)</f>
        <v>3.0800000000000001E-2</v>
      </c>
      <c r="F127" s="2">
        <f>0.629*(1/100)</f>
        <v>6.2900000000000005E-3</v>
      </c>
    </row>
    <row r="128" spans="1:6" ht="14.25" customHeight="1" x14ac:dyDescent="0.3">
      <c r="A128" s="3">
        <v>44013</v>
      </c>
      <c r="B128" s="2">
        <f>2.2*(1/100)</f>
        <v>2.2000000000000002E-2</v>
      </c>
      <c r="C128" s="2">
        <f>2.86*(1/100)</f>
        <v>2.86E-2</v>
      </c>
      <c r="D128" s="2">
        <v>5.3600000000000002E-2</v>
      </c>
      <c r="E128" s="2">
        <f>2.92*(1/100)</f>
        <v>2.92E-2</v>
      </c>
      <c r="F128" s="2">
        <f>0.575*(1/100)</f>
        <v>5.7499999999999999E-3</v>
      </c>
    </row>
    <row r="129" spans="1:6" ht="14.25" customHeight="1" x14ac:dyDescent="0.3">
      <c r="A129" s="3">
        <v>44044</v>
      </c>
      <c r="B129" s="2">
        <f>4.6*(1/100)</f>
        <v>4.5999999999999999E-2</v>
      </c>
      <c r="C129" s="2">
        <f>-1.99*(1/100)</f>
        <v>-1.9900000000000001E-2</v>
      </c>
      <c r="D129" s="2">
        <v>6.0299999999999999E-2</v>
      </c>
      <c r="E129" s="2">
        <f>5.48*(1/100)</f>
        <v>5.4800000000000008E-2</v>
      </c>
      <c r="F129" s="2">
        <f>0.81*(1/100)</f>
        <v>8.1000000000000013E-3</v>
      </c>
    </row>
    <row r="130" spans="1:6" ht="14.25" customHeight="1" x14ac:dyDescent="0.3">
      <c r="A130" s="3">
        <v>44075</v>
      </c>
      <c r="B130" s="2">
        <f>-3.35*(1/100)</f>
        <v>-3.3500000000000002E-2</v>
      </c>
      <c r="C130" s="2">
        <f>-0.66*(1/100)</f>
        <v>-6.6000000000000008E-3</v>
      </c>
      <c r="D130" s="2">
        <v>-2.9499999999999998E-2</v>
      </c>
      <c r="E130" s="2">
        <f>-3.63*(1/100)</f>
        <v>-3.6299999999999999E-2</v>
      </c>
      <c r="F130" s="2">
        <f>0.629*(1/100)</f>
        <v>6.2900000000000005E-3</v>
      </c>
    </row>
    <row r="131" spans="1:6" ht="14.25" customHeight="1" x14ac:dyDescent="0.3">
      <c r="A131" s="3">
        <v>44105</v>
      </c>
      <c r="B131" s="2">
        <f>-4.14*(1/100)</f>
        <v>-4.1399999999999999E-2</v>
      </c>
      <c r="C131" s="2">
        <f>-0.73*(1/100)</f>
        <v>-7.3000000000000001E-3</v>
      </c>
      <c r="D131" s="2">
        <v>-2.23E-2</v>
      </c>
      <c r="E131" s="2">
        <f>2.2*(1/100)</f>
        <v>2.2000000000000002E-2</v>
      </c>
      <c r="F131" s="2">
        <f>0.701*(1/100)</f>
        <v>7.0099999999999997E-3</v>
      </c>
    </row>
    <row r="132" spans="1:6" ht="14.25" customHeight="1" x14ac:dyDescent="0.3">
      <c r="A132" s="3">
        <v>44136</v>
      </c>
      <c r="B132" s="2">
        <f>14.16*(1/100)</f>
        <v>0.1416</v>
      </c>
      <c r="C132" s="2">
        <f>3.55*(1/100)</f>
        <v>3.5499999999999997E-2</v>
      </c>
      <c r="D132" s="2">
        <v>0.1176</v>
      </c>
      <c r="E132" s="2">
        <f>18.24*(1/100)</f>
        <v>0.18239999999999998</v>
      </c>
      <c r="F132" s="2">
        <f>0.847*(1/100)</f>
        <v>8.4700000000000001E-3</v>
      </c>
    </row>
    <row r="133" spans="1:6" ht="14.25" customHeight="1" x14ac:dyDescent="0.3">
      <c r="A133" s="3">
        <v>44166</v>
      </c>
      <c r="B133" s="2">
        <f>3.7*(1/100)</f>
        <v>3.7000000000000005E-2</v>
      </c>
      <c r="C133" s="2">
        <f>-0.25*(1/100)</f>
        <v>-2.5000000000000001E-3</v>
      </c>
      <c r="D133" s="2">
        <v>3.8800000000000001E-2</v>
      </c>
      <c r="E133" s="2">
        <f>8.31*(1/100)</f>
        <v>8.3100000000000007E-2</v>
      </c>
      <c r="F133" s="2">
        <f>0.967*(1/100)</f>
        <v>9.6699999999999998E-3</v>
      </c>
    </row>
    <row r="134" spans="1:6" ht="14.25" customHeight="1" x14ac:dyDescent="0.3">
      <c r="A134" s="3">
        <v>44197</v>
      </c>
      <c r="B134" s="2">
        <f>-1.66*(1/100)</f>
        <v>-1.66E-2</v>
      </c>
      <c r="C134" s="2">
        <f>-1.83*(1/100)</f>
        <v>-1.83E-2</v>
      </c>
      <c r="D134" s="2">
        <v>-3.0999999999999999E-3</v>
      </c>
      <c r="E134" s="2">
        <f>4.85*(1/100)</f>
        <v>4.8499999999999995E-2</v>
      </c>
      <c r="F134" s="2">
        <f>1.055*(1/100)</f>
        <v>1.055E-2</v>
      </c>
    </row>
    <row r="135" spans="1:6" ht="14.25" customHeight="1" x14ac:dyDescent="0.3">
      <c r="A135" s="3">
        <v>44228</v>
      </c>
      <c r="B135" s="2">
        <f>2.84*(1/100)</f>
        <v>2.8399999999999998E-2</v>
      </c>
      <c r="C135" s="2">
        <f>-2.46*(1/100)</f>
        <v>-2.46E-2</v>
      </c>
      <c r="D135" s="2">
        <v>2.29E-2</v>
      </c>
      <c r="E135" s="2">
        <f>6.2*(1/100)</f>
        <v>6.2000000000000006E-2</v>
      </c>
      <c r="F135" s="2">
        <f>1.467*(1/100)</f>
        <v>1.4670000000000001E-2</v>
      </c>
    </row>
    <row r="136" spans="1:6" ht="14.25" customHeight="1" x14ac:dyDescent="0.3">
      <c r="A136" s="3">
        <v>44256</v>
      </c>
      <c r="B136" s="2">
        <f>0.36*(1/100)</f>
        <v>3.5999999999999999E-3</v>
      </c>
      <c r="C136" s="2">
        <f>-1.68*(1/100)</f>
        <v>-1.6799999999999999E-2</v>
      </c>
      <c r="D136" s="2">
        <v>2.8500000000000001E-2</v>
      </c>
      <c r="E136" s="2">
        <f>1.2*(1/100)</f>
        <v>1.2E-2</v>
      </c>
      <c r="F136" s="2">
        <f>1.483*(1/100)</f>
        <v>1.4830000000000001E-2</v>
      </c>
    </row>
    <row r="137" spans="1:6" ht="14.25" customHeight="1" x14ac:dyDescent="0.3">
      <c r="A137" s="3">
        <v>44287</v>
      </c>
      <c r="B137" s="2">
        <f>4.31*(1/100)</f>
        <v>4.3099999999999999E-2</v>
      </c>
      <c r="C137" s="2">
        <f>0.85*(1/100)</f>
        <v>8.5000000000000006E-3</v>
      </c>
      <c r="D137" s="2">
        <v>4.2500000000000003E-2</v>
      </c>
      <c r="E137" s="2">
        <f>1.79*(1/100)</f>
        <v>1.7899999999999999E-2</v>
      </c>
      <c r="F137" s="2">
        <f>1.438*(1/100)</f>
        <v>1.438E-2</v>
      </c>
    </row>
    <row r="138" spans="1:6" ht="14.25" customHeight="1" x14ac:dyDescent="0.3">
      <c r="A138" s="3">
        <v>44317</v>
      </c>
      <c r="B138" s="2">
        <f>3.23*(1/100)</f>
        <v>3.2300000000000002E-2</v>
      </c>
      <c r="C138" s="2">
        <f>0.43*(1/100)</f>
        <v>4.3E-3</v>
      </c>
      <c r="D138" s="2">
        <v>1.47E-2</v>
      </c>
      <c r="E138" s="2">
        <f>0.27*(1/100)</f>
        <v>2.7000000000000001E-3</v>
      </c>
      <c r="F138" s="2">
        <f>1.48*(1/100)</f>
        <v>1.4800000000000001E-2</v>
      </c>
    </row>
    <row r="139" spans="1:6" ht="14.25" customHeight="1" x14ac:dyDescent="0.3">
      <c r="A139" s="3">
        <v>44348</v>
      </c>
      <c r="B139" s="2">
        <f>-1.35*(1/100)</f>
        <v>-1.3500000000000002E-2</v>
      </c>
      <c r="C139" s="2">
        <f>2.01*(1/100)</f>
        <v>2.01E-2</v>
      </c>
      <c r="D139" s="2">
        <v>5.4000000000000003E-3</v>
      </c>
      <c r="E139" s="2">
        <f>1.72*(1/100)</f>
        <v>1.72E-2</v>
      </c>
      <c r="F139" s="2">
        <f>1.376*(1/100)</f>
        <v>1.376E-2</v>
      </c>
    </row>
    <row r="140" spans="1:6" ht="14.25" customHeight="1" x14ac:dyDescent="0.3">
      <c r="A140" s="3">
        <v>44378</v>
      </c>
      <c r="B140" s="2">
        <f>2.39*(1/100)</f>
        <v>2.3900000000000001E-2</v>
      </c>
      <c r="C140" s="2">
        <f>1.23*(1/100)</f>
        <v>1.23E-2</v>
      </c>
      <c r="D140" s="2">
        <v>9.1000000000000004E-3</v>
      </c>
      <c r="E140" s="2">
        <f>-3.63*(1/100)</f>
        <v>-3.6299999999999999E-2</v>
      </c>
      <c r="F140" s="2">
        <f>1.202*(1/100)</f>
        <v>1.2019999999999999E-2</v>
      </c>
    </row>
    <row r="141" spans="1:6" ht="14.25" customHeight="1" x14ac:dyDescent="0.3">
      <c r="A141" s="3">
        <v>44409</v>
      </c>
      <c r="B141" s="2">
        <f>0.53*(1/100)</f>
        <v>5.3E-3</v>
      </c>
      <c r="C141" s="2">
        <f>-0.52*(1/100)</f>
        <v>-5.2000000000000006E-3</v>
      </c>
      <c r="D141" s="2">
        <v>2.1700000000000001E-2</v>
      </c>
      <c r="E141" s="2">
        <f>2.2*(1/100)</f>
        <v>2.2000000000000002E-2</v>
      </c>
      <c r="F141" s="2">
        <f>1.295*(1/100)</f>
        <v>1.295E-2</v>
      </c>
    </row>
    <row r="142" spans="1:6" ht="14.25" customHeight="1" x14ac:dyDescent="0.3">
      <c r="A142" s="3">
        <v>44440</v>
      </c>
      <c r="B142" s="2">
        <f>-7.16*(1/100)</f>
        <v>-7.1599999999999997E-2</v>
      </c>
      <c r="C142" s="2">
        <f>-1.68*(1/100)</f>
        <v>-1.6799999999999999E-2</v>
      </c>
      <c r="D142" s="2">
        <v>-4.2299999999999997E-2</v>
      </c>
      <c r="E142" s="2">
        <f>-3.17*(1/100)</f>
        <v>-3.1699999999999999E-2</v>
      </c>
      <c r="F142" s="2">
        <f>1.601*(1/100)</f>
        <v>1.601E-2</v>
      </c>
    </row>
    <row r="143" spans="1:6" ht="14.25" customHeight="1" x14ac:dyDescent="0.3">
      <c r="A143" s="3">
        <v>44470</v>
      </c>
      <c r="B143" s="2">
        <f>4.18*(1/100)</f>
        <v>4.1799999999999997E-2</v>
      </c>
      <c r="C143" s="2">
        <f>0.34*(1/100)</f>
        <v>3.4000000000000002E-3</v>
      </c>
      <c r="D143" s="2">
        <v>5.3900000000000003E-2</v>
      </c>
      <c r="E143" s="2">
        <f>4.25*(1/100)</f>
        <v>4.2500000000000003E-2</v>
      </c>
      <c r="F143" s="2">
        <f>1.702*(1/100)</f>
        <v>1.702E-2</v>
      </c>
    </row>
    <row r="144" spans="1:6" ht="14.25" customHeight="1" x14ac:dyDescent="0.3">
      <c r="A144" s="3">
        <v>44501</v>
      </c>
      <c r="B144" s="2">
        <f>-4.22*(1/100)</f>
        <v>-4.2200000000000001E-2</v>
      </c>
      <c r="C144" s="2">
        <f>-0.31*(1/100)</f>
        <v>-3.0999999999999999E-3</v>
      </c>
      <c r="D144" s="2">
        <v>-2.3099999999999999E-2</v>
      </c>
      <c r="E144" s="2">
        <f>-4.33*(1/100)</f>
        <v>-4.3299999999999998E-2</v>
      </c>
      <c r="F144" s="2">
        <f>1.49*(1/100)</f>
        <v>1.49E-2</v>
      </c>
    </row>
    <row r="145" spans="1:6" ht="14.25" customHeight="1" x14ac:dyDescent="0.3">
      <c r="A145" s="3">
        <v>44531</v>
      </c>
      <c r="B145" s="2">
        <f>2*(1/100)</f>
        <v>0.02</v>
      </c>
      <c r="C145" s="2">
        <f>-0.41*(1/100)</f>
        <v>-4.0999999999999995E-3</v>
      </c>
      <c r="D145" s="2">
        <v>2.8199999999999999E-2</v>
      </c>
      <c r="E145" s="2">
        <f>1.96*(1/100)</f>
        <v>1.9599999999999999E-2</v>
      </c>
      <c r="F145" s="2">
        <f>1.718*(1/100)</f>
        <v>1.7180000000000001E-2</v>
      </c>
    </row>
    <row r="146" spans="1:6" ht="14.25" customHeight="1" x14ac:dyDescent="0.3">
      <c r="A146" s="3">
        <v>44562</v>
      </c>
      <c r="B146" s="2">
        <f>-3.26*(1/100)</f>
        <v>-3.2599999999999997E-2</v>
      </c>
      <c r="C146" s="2">
        <f>-3.59*(1/100)</f>
        <v>-3.5900000000000001E-2</v>
      </c>
      <c r="D146" s="2">
        <v>-4.5499999999999999E-2</v>
      </c>
      <c r="E146" s="2">
        <f>-9.53*(1/100)</f>
        <v>-9.5299999999999996E-2</v>
      </c>
      <c r="F146" s="2">
        <f>1.973*(1/100)</f>
        <v>1.9730000000000001E-2</v>
      </c>
    </row>
    <row r="147" spans="1:6" ht="14.25" customHeight="1" x14ac:dyDescent="0.3">
      <c r="A147" s="3">
        <v>44593</v>
      </c>
      <c r="B147" s="2">
        <f>-2.07*(1/100)</f>
        <v>-2.07E-2</v>
      </c>
      <c r="C147" s="2">
        <f>-2.32*(1/100)</f>
        <v>-2.3199999999999998E-2</v>
      </c>
      <c r="D147" s="2">
        <v>-3.0599999999999999E-2</v>
      </c>
      <c r="E147" s="2">
        <f>1.03*(1/100)</f>
        <v>1.03E-2</v>
      </c>
      <c r="F147" s="2">
        <f>2.079*(1/100)</f>
        <v>2.0790000000000003E-2</v>
      </c>
    </row>
    <row r="148" spans="1:6" ht="14.25" customHeight="1" x14ac:dyDescent="0.3">
      <c r="A148" s="3">
        <v>44621</v>
      </c>
      <c r="B148" s="2">
        <f>0.7*(1/100)</f>
        <v>6.9999999999999993E-3</v>
      </c>
      <c r="C148" s="2">
        <f>-3.09*(1/100)</f>
        <v>-3.09E-2</v>
      </c>
      <c r="D148" s="2">
        <v>1.9400000000000001E-2</v>
      </c>
      <c r="E148" s="2">
        <f>0.96*(1/100)</f>
        <v>9.5999999999999992E-3</v>
      </c>
      <c r="F148" s="2">
        <f>2.569*(1/100)</f>
        <v>2.5690000000000001E-2</v>
      </c>
    </row>
    <row r="149" spans="1:6" ht="14.25" customHeight="1" x14ac:dyDescent="0.3">
      <c r="A149" s="3">
        <v>44652</v>
      </c>
      <c r="B149" s="2">
        <f>-6.95*(1/100)</f>
        <v>-6.9500000000000006E-2</v>
      </c>
      <c r="C149" s="2">
        <f>-6.9*(1/100)</f>
        <v>-6.9000000000000006E-2</v>
      </c>
      <c r="D149" s="2">
        <v>-8.0699999999999994E-2</v>
      </c>
      <c r="E149" s="2">
        <f>-9.9*(1/100)</f>
        <v>-9.9000000000000005E-2</v>
      </c>
      <c r="F149" s="2">
        <f>2.777*(1/100)</f>
        <v>2.7770000000000003E-2</v>
      </c>
    </row>
    <row r="150" spans="1:6" ht="14.25" customHeight="1" x14ac:dyDescent="0.3">
      <c r="A150" s="3">
        <v>44682</v>
      </c>
      <c r="B150" s="2">
        <f>-0.51*(1/100)</f>
        <v>-5.1000000000000004E-3</v>
      </c>
      <c r="C150" s="2">
        <f>1.63*(1/100)</f>
        <v>1.6299999999999999E-2</v>
      </c>
      <c r="D150" s="2">
        <v>4.4999999999999997E-3</v>
      </c>
      <c r="E150" s="2">
        <f>0.19*(1/100)</f>
        <v>1.9E-3</v>
      </c>
      <c r="F150" s="2">
        <f>2.741*(1/100)</f>
        <v>2.741E-2</v>
      </c>
    </row>
    <row r="151" spans="1:6" ht="14.25" customHeight="1" x14ac:dyDescent="0.3">
      <c r="A151" s="3">
        <v>44713</v>
      </c>
      <c r="B151" s="2">
        <f>-10.85*(1/100)</f>
        <v>-0.1085</v>
      </c>
      <c r="C151" s="2">
        <f>-3.85*(1/100)</f>
        <v>-3.85E-2</v>
      </c>
      <c r="D151" s="2">
        <v>-8.9499999999999996E-2</v>
      </c>
      <c r="E151" s="2">
        <f>-8.61*(1/100)</f>
        <v>-8.6099999999999996E-2</v>
      </c>
      <c r="F151" s="2">
        <f>3.067*(1/100)</f>
        <v>3.0670000000000003E-2</v>
      </c>
    </row>
    <row r="152" spans="1:6" ht="14.25" customHeight="1" x14ac:dyDescent="0.3">
      <c r="A152" s="3">
        <v>44743</v>
      </c>
      <c r="B152" s="2">
        <f>6.15*(1/100)</f>
        <v>6.1500000000000006E-2</v>
      </c>
      <c r="C152" s="2">
        <f>4.16*(1/100)</f>
        <v>4.1600000000000005E-2</v>
      </c>
      <c r="D152" s="2">
        <v>7.0699999999999999E-2</v>
      </c>
      <c r="E152" s="2">
        <f>10.56*(1/100)</f>
        <v>0.10560000000000001</v>
      </c>
      <c r="F152" s="2">
        <f>2.827*(1/100)</f>
        <v>2.827E-2</v>
      </c>
    </row>
    <row r="153" spans="1:6" ht="14.25" customHeight="1" x14ac:dyDescent="0.3">
      <c r="A153" s="3">
        <v>44774</v>
      </c>
      <c r="B153" s="2">
        <f>-7.85*(1/100)</f>
        <v>-7.85E-2</v>
      </c>
      <c r="C153" s="2">
        <f>-4.66*(1/100)</f>
        <v>-4.6600000000000003E-2</v>
      </c>
      <c r="D153" s="2">
        <v>-4.36E-2</v>
      </c>
      <c r="E153" s="2">
        <f>-2*(1/100)</f>
        <v>-0.02</v>
      </c>
      <c r="F153" s="2">
        <f>3.357*(1/100)</f>
        <v>3.3570000000000003E-2</v>
      </c>
    </row>
    <row r="154" spans="1:6" ht="14.25" customHeight="1" x14ac:dyDescent="0.3">
      <c r="A154" s="3">
        <v>44805</v>
      </c>
      <c r="B154" s="2">
        <f>-13.26*(1/100)</f>
        <v>-0.1326</v>
      </c>
      <c r="C154" s="2">
        <f>-6.24*(1/100)</f>
        <v>-6.2400000000000004E-2</v>
      </c>
      <c r="D154" s="2">
        <v>-9.3899999999999997E-2</v>
      </c>
      <c r="E154" s="2">
        <f>-10.13*(1/100)</f>
        <v>-0.10130000000000002</v>
      </c>
      <c r="F154" s="2">
        <f>3.312*(1/100)</f>
        <v>3.3119999999999997E-2</v>
      </c>
    </row>
    <row r="155" spans="1:6" ht="14.25" customHeight="1" x14ac:dyDescent="0.3">
      <c r="A155" s="3">
        <v>44835</v>
      </c>
      <c r="B155" s="2">
        <f>0.42*(1/100)</f>
        <v>4.1999999999999997E-3</v>
      </c>
      <c r="C155" s="2">
        <f>-1.07*(1/100)</f>
        <v>-1.0700000000000001E-2</v>
      </c>
      <c r="D155" s="2">
        <v>6.3500000000000001E-2</v>
      </c>
      <c r="E155" s="2">
        <f>11.16*(1/100)</f>
        <v>0.1116</v>
      </c>
      <c r="F155" s="2">
        <f>3.532*(1/100)</f>
        <v>3.5320000000000004E-2</v>
      </c>
    </row>
    <row r="156" spans="1:6" ht="14.25" customHeight="1" x14ac:dyDescent="0.3">
      <c r="A156" s="3">
        <v>44866</v>
      </c>
      <c r="B156" s="2">
        <f>10.67*(1/100)</f>
        <v>0.1067</v>
      </c>
      <c r="C156" s="2">
        <f>6.32*(1/100)</f>
        <v>6.3200000000000006E-2</v>
      </c>
      <c r="D156" s="2">
        <v>8.3400000000000002E-2</v>
      </c>
      <c r="E156" s="2">
        <f>2.2*(1/100)</f>
        <v>2.2000000000000002E-2</v>
      </c>
      <c r="F156" s="2">
        <f>3.165*(1/100)</f>
        <v>3.1649999999999998E-2</v>
      </c>
    </row>
    <row r="157" spans="1:6" ht="14.25" customHeight="1" x14ac:dyDescent="0.3">
      <c r="A157" s="3">
        <v>44896</v>
      </c>
      <c r="B157" s="2">
        <f>-0.47*(1/100)</f>
        <v>-4.7000000000000002E-3</v>
      </c>
      <c r="C157" s="2">
        <f>-2.16*(1/100)</f>
        <v>-2.1600000000000001E-2</v>
      </c>
      <c r="D157" s="2">
        <v>-5.3400000000000003E-2</v>
      </c>
      <c r="E157" s="2">
        <f>-6.94*(1/100)</f>
        <v>-6.9400000000000003E-2</v>
      </c>
      <c r="F157" s="2">
        <f>3.223*(1/100)</f>
        <v>3.2230000000000002E-2</v>
      </c>
    </row>
    <row r="158" spans="1:6" ht="14.25" customHeight="1" x14ac:dyDescent="0.3"/>
    <row r="159" spans="1:6" ht="14.25" customHeight="1" x14ac:dyDescent="0.3"/>
    <row r="160" spans="1:6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González Álvarez</dc:creator>
  <cp:lastModifiedBy>Quinten Woumans</cp:lastModifiedBy>
  <dcterms:created xsi:type="dcterms:W3CDTF">2024-11-06T00:48:48Z</dcterms:created>
  <dcterms:modified xsi:type="dcterms:W3CDTF">2024-11-06T14:46:52Z</dcterms:modified>
</cp:coreProperties>
</file>