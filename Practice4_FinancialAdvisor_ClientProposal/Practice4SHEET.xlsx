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anfelli/Desktop/UC3M/AV&amp;S/AV&amp;S.PRACTICE/Practice4_2024/"/>
    </mc:Choice>
  </mc:AlternateContent>
  <xr:revisionPtr revIDLastSave="0" documentId="13_ncr:1_{E8511331-5DCC-1340-8912-D5AB5B8B7BDE}" xr6:coauthVersionLast="47" xr6:coauthVersionMax="47" xr10:uidLastSave="{00000000-0000-0000-0000-000000000000}"/>
  <bookViews>
    <workbookView xWindow="0" yWindow="0" windowWidth="28800" windowHeight="18000" activeTab="1" xr2:uid="{8EEC746F-7778-4C02-AB7A-38D54533B0FA}"/>
  </bookViews>
  <sheets>
    <sheet name="MRZAPP" sheetId="1" r:id="rId1"/>
    <sheet name="MSYANNY" sheetId="2" r:id="rId2"/>
    <sheet name="computat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L15" i="1"/>
  <c r="G26" i="1"/>
  <c r="Q20" i="1" s="1"/>
  <c r="H26" i="2"/>
  <c r="K17" i="2"/>
  <c r="S25" i="2"/>
  <c r="R25" i="2"/>
  <c r="Q25" i="2"/>
  <c r="P25" i="2"/>
  <c r="S20" i="1"/>
  <c r="P20" i="1"/>
  <c r="C17" i="1"/>
  <c r="C5" i="2"/>
  <c r="L1" i="4"/>
  <c r="E5" i="1"/>
  <c r="E6" i="1"/>
  <c r="E7" i="1"/>
  <c r="E8" i="1"/>
  <c r="E9" i="1"/>
  <c r="E10" i="1"/>
  <c r="E11" i="1"/>
  <c r="E12" i="1"/>
  <c r="E13" i="1"/>
  <c r="E4" i="1"/>
  <c r="E19" i="1" s="1"/>
  <c r="G2" i="4"/>
  <c r="D21" i="2" s="1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D14" i="2" a="1"/>
  <c r="D14" i="2" s="1"/>
  <c r="D17" i="2" s="1"/>
  <c r="D10" i="2"/>
  <c r="D9" i="2"/>
  <c r="M25" i="2" l="1"/>
  <c r="N31" i="2" s="1"/>
  <c r="N30" i="2"/>
  <c r="U3" i="2"/>
  <c r="V3" i="2"/>
  <c r="W3" i="2"/>
  <c r="X3" i="2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H3" i="2"/>
  <c r="D3" i="2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G5" i="2"/>
  <c r="G6" i="2" s="1"/>
  <c r="H18" i="2"/>
  <c r="H20" i="2" s="1"/>
  <c r="I4" i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H5" i="1"/>
  <c r="C16" i="1"/>
  <c r="I16" i="1" s="1"/>
  <c r="I18" i="1" s="1"/>
  <c r="C15" i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N32" i="2" l="1"/>
  <c r="H5" i="2"/>
  <c r="H6" i="2" s="1"/>
  <c r="I5" i="2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I3" i="2"/>
  <c r="U5" i="1"/>
  <c r="S5" i="1"/>
  <c r="T5" i="1"/>
  <c r="I5" i="1"/>
  <c r="J5" i="1"/>
  <c r="K5" i="1"/>
  <c r="P5" i="1"/>
  <c r="L5" i="1"/>
  <c r="M5" i="1"/>
  <c r="N5" i="1"/>
  <c r="O5" i="1"/>
  <c r="Q5" i="1"/>
  <c r="R5" i="1"/>
  <c r="V5" i="2" l="1"/>
  <c r="U6" i="2"/>
  <c r="I6" i="2"/>
  <c r="J3" i="2"/>
  <c r="I7" i="1"/>
  <c r="I8" i="1" s="1"/>
  <c r="I9" i="1" s="1"/>
  <c r="I11" i="1" s="1"/>
  <c r="R20" i="1" s="1"/>
  <c r="M20" i="1" s="1"/>
  <c r="M22" i="1" l="1"/>
  <c r="N26" i="1" s="1"/>
  <c r="N28" i="1" s="1"/>
  <c r="W5" i="2"/>
  <c r="V6" i="2"/>
  <c r="K3" i="2"/>
  <c r="J6" i="2"/>
  <c r="X5" i="2" l="1"/>
  <c r="W6" i="2"/>
  <c r="L3" i="2"/>
  <c r="K6" i="2"/>
  <c r="Y5" i="2" l="1"/>
  <c r="X6" i="2"/>
  <c r="M3" i="2"/>
  <c r="L6" i="2"/>
  <c r="Z5" i="2" l="1"/>
  <c r="Y6" i="2"/>
  <c r="M6" i="2"/>
  <c r="N3" i="2"/>
  <c r="AA5" i="2" l="1"/>
  <c r="Z6" i="2"/>
  <c r="N6" i="2"/>
  <c r="O3" i="2"/>
  <c r="AB5" i="2" l="1"/>
  <c r="AA6" i="2"/>
  <c r="O6" i="2"/>
  <c r="P3" i="2"/>
  <c r="AC5" i="2" l="1"/>
  <c r="AB6" i="2"/>
  <c r="P6" i="2"/>
  <c r="Q3" i="2"/>
  <c r="AD5" i="2" l="1"/>
  <c r="AC6" i="2"/>
  <c r="R3" i="2"/>
  <c r="Q6" i="2"/>
  <c r="AE5" i="2" l="1"/>
  <c r="AD6" i="2"/>
  <c r="S3" i="2"/>
  <c r="R6" i="2"/>
  <c r="AF5" i="2" l="1"/>
  <c r="AE6" i="2"/>
  <c r="T3" i="2"/>
  <c r="T6" i="2" s="1"/>
  <c r="S6" i="2"/>
  <c r="AG5" i="2" l="1"/>
  <c r="AF6" i="2"/>
  <c r="AH5" i="2" l="1"/>
  <c r="AG6" i="2"/>
  <c r="AI5" i="2" l="1"/>
  <c r="AH6" i="2"/>
  <c r="AJ5" i="2" l="1"/>
  <c r="AI6" i="2"/>
  <c r="AK5" i="2" l="1"/>
  <c r="AJ6" i="2"/>
  <c r="AL5" i="2" l="1"/>
  <c r="AK6" i="2"/>
  <c r="AM5" i="2" l="1"/>
  <c r="AL6" i="2"/>
  <c r="AN5" i="2" l="1"/>
  <c r="AM6" i="2"/>
  <c r="AO5" i="2" l="1"/>
  <c r="AN6" i="2"/>
  <c r="AP5" i="2" l="1"/>
  <c r="AO6" i="2"/>
  <c r="AQ5" i="2" l="1"/>
  <c r="AP6" i="2"/>
  <c r="AR5" i="2" l="1"/>
  <c r="AQ6" i="2"/>
  <c r="AS5" i="2" l="1"/>
  <c r="AR6" i="2"/>
  <c r="AT5" i="2" l="1"/>
  <c r="AS6" i="2"/>
  <c r="AU5" i="2" l="1"/>
  <c r="AT6" i="2"/>
  <c r="AV5" i="2" l="1"/>
  <c r="AU6" i="2"/>
  <c r="AW5" i="2" l="1"/>
  <c r="AV6" i="2"/>
  <c r="AX5" i="2" l="1"/>
  <c r="AW6" i="2"/>
  <c r="AY5" i="2" l="1"/>
  <c r="AX6" i="2"/>
  <c r="AZ5" i="2" l="1"/>
  <c r="AY6" i="2"/>
  <c r="BA5" i="2" l="1"/>
  <c r="AZ6" i="2"/>
  <c r="BB5" i="2" l="1"/>
  <c r="BA6" i="2"/>
  <c r="BC5" i="2" l="1"/>
  <c r="BB6" i="2"/>
  <c r="BD5" i="2" l="1"/>
  <c r="BD6" i="2" s="1"/>
  <c r="BC6" i="2"/>
  <c r="H8" i="2" l="1"/>
  <c r="H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<sst xmlns="http://schemas.openxmlformats.org/spreadsheetml/2006/main" count="104" uniqueCount="72">
  <si>
    <t>Yearly change</t>
  </si>
  <si>
    <t>Year</t>
  </si>
  <si>
    <t>Average</t>
  </si>
  <si>
    <t>Std</t>
  </si>
  <si>
    <t>income volatility</t>
  </si>
  <si>
    <t>Yearly Pension</t>
  </si>
  <si>
    <t>rf</t>
  </si>
  <si>
    <t>discount rate</t>
  </si>
  <si>
    <t>Y</t>
  </si>
  <si>
    <t>Net Income</t>
  </si>
  <si>
    <t>Expenses</t>
  </si>
  <si>
    <t>Average Inflation Germany (1960-2023)</t>
  </si>
  <si>
    <t>W</t>
  </si>
  <si>
    <t>pi</t>
  </si>
  <si>
    <t>k</t>
  </si>
  <si>
    <t>kc</t>
  </si>
  <si>
    <t>Average Inflation USA (1960-2023)</t>
  </si>
  <si>
    <t>Yearly Fixed Wage</t>
  </si>
  <si>
    <t>Yearly Bonus</t>
  </si>
  <si>
    <t>L</t>
  </si>
  <si>
    <t>Yearly change in wages</t>
  </si>
  <si>
    <t>Average CWEN price change/year</t>
  </si>
  <si>
    <t>FENY Average price change/year</t>
  </si>
  <si>
    <t>Difference</t>
  </si>
  <si>
    <t>Difference/7</t>
  </si>
  <si>
    <t>2% * years worked * average annual salary</t>
  </si>
  <si>
    <t>Average annual salary</t>
  </si>
  <si>
    <t>years worked</t>
  </si>
  <si>
    <t>Estimated yearly pension</t>
  </si>
  <si>
    <t>rho</t>
  </si>
  <si>
    <t>USA GDP</t>
  </si>
  <si>
    <t>Change</t>
  </si>
  <si>
    <t>Salary Growth</t>
  </si>
  <si>
    <t>Covariance</t>
  </si>
  <si>
    <t>covariance with the market</t>
  </si>
  <si>
    <t>Gross GDP</t>
  </si>
  <si>
    <t>Change in Gross GDP</t>
  </si>
  <si>
    <t>covariance</t>
  </si>
  <si>
    <t>Pension income</t>
  </si>
  <si>
    <t>Date</t>
  </si>
  <si>
    <t>Open</t>
  </si>
  <si>
    <t>High</t>
  </si>
  <si>
    <t>Low</t>
  </si>
  <si>
    <t>Close</t>
  </si>
  <si>
    <t>Adj</t>
  </si>
  <si>
    <t>Adj %</t>
  </si>
  <si>
    <t>CWEN</t>
  </si>
  <si>
    <t>Inflation rate in USA (yearly)</t>
  </si>
  <si>
    <t>Var</t>
  </si>
  <si>
    <t>RISKY ASSET WEIGHT (MAX SHARPE PORTFOLIO)</t>
  </si>
  <si>
    <t>alpha</t>
  </si>
  <si>
    <t>1-alpha</t>
  </si>
  <si>
    <t>PH</t>
  </si>
  <si>
    <t>PTF</t>
  </si>
  <si>
    <t>variance</t>
  </si>
  <si>
    <t>RISK-FREE WEIGHT</t>
  </si>
  <si>
    <t>MAX SHARPE PORTFOLIO</t>
  </si>
  <si>
    <t>excess return</t>
  </si>
  <si>
    <t>1/rho</t>
  </si>
  <si>
    <t>(1-1/rho)*cov/var</t>
  </si>
  <si>
    <t>numerator</t>
  </si>
  <si>
    <t>denominator</t>
  </si>
  <si>
    <t>Sharpe ratio</t>
  </si>
  <si>
    <t>Sharpe Ratio</t>
  </si>
  <si>
    <t>RISK</t>
  </si>
  <si>
    <t>RISK-FREE</t>
  </si>
  <si>
    <t>avrg</t>
  </si>
  <si>
    <t>std</t>
  </si>
  <si>
    <t>var</t>
  </si>
  <si>
    <t>er</t>
  </si>
  <si>
    <t>sr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</si>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</sst>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164" formatCode="yyyy\-mm\-dd"/>
    <numFmt numFmtId="165" formatCode="0.000"/>
    <numFmt numFmtId="176" formatCode="0.000000000"/>
    <numFmt numFmtId="178" formatCode="0.0000%"/>
    <numFmt numFmtId="184" formatCode="0.00000000E+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scheme val="minor"/>
    </font>
    <font>
      <sz val="11"/>
      <color rgb="FF002060"/>
      <name val="Aptos Narrow"/>
      <family val="2"/>
      <scheme val="minor"/>
    </font>
    <font>
      <sz val="12"/>
      <color rgb="FF212121"/>
      <name val="Menlo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0" borderId="1" xfId="0" applyBorder="1" applyAlignment="1">
      <alignment horizontal="center"/>
    </xf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right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0" fontId="0" fillId="0" borderId="6" xfId="0" applyNumberFormat="1" applyBorder="1"/>
    <xf numFmtId="10" fontId="0" fillId="0" borderId="0" xfId="0" quotePrefix="1" applyNumberFormat="1"/>
    <xf numFmtId="2" fontId="0" fillId="0" borderId="1" xfId="0" applyNumberFormat="1" applyBorder="1"/>
    <xf numFmtId="164" fontId="4" fillId="0" borderId="0" xfId="1" applyNumberFormat="1"/>
    <xf numFmtId="0" fontId="4" fillId="0" borderId="0" xfId="1" applyAlignment="1">
      <alignment horizontal="right"/>
    </xf>
    <xf numFmtId="165" fontId="4" fillId="0" borderId="0" xfId="1" applyNumberFormat="1"/>
    <xf numFmtId="1" fontId="0" fillId="0" borderId="0" xfId="0" applyNumberFormat="1"/>
    <xf numFmtId="165" fontId="0" fillId="0" borderId="0" xfId="0" applyNumberFormat="1"/>
    <xf numFmtId="10" fontId="0" fillId="0" borderId="8" xfId="0" applyNumberFormat="1" applyBorder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0" fillId="2" borderId="0" xfId="0" applyFill="1"/>
    <xf numFmtId="0" fontId="6" fillId="3" borderId="0" xfId="0" applyFont="1" applyFill="1"/>
    <xf numFmtId="0" fontId="2" fillId="4" borderId="2" xfId="0" applyFont="1" applyFill="1" applyBorder="1" applyAlignment="1">
      <alignment vertical="center"/>
    </xf>
    <xf numFmtId="176" fontId="0" fillId="0" borderId="7" xfId="0" applyNumberForma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Border="1"/>
    <xf numFmtId="0" fontId="0" fillId="6" borderId="0" xfId="0" applyFill="1" applyBorder="1"/>
    <xf numFmtId="8" fontId="1" fillId="3" borderId="1" xfId="0" applyNumberFormat="1" applyFont="1" applyFill="1" applyBorder="1"/>
    <xf numFmtId="178" fontId="0" fillId="0" borderId="0" xfId="0" applyNumberFormat="1" applyBorder="1"/>
    <xf numFmtId="0" fontId="7" fillId="0" borderId="0" xfId="0" applyFont="1"/>
    <xf numFmtId="0" fontId="0" fillId="3" borderId="0" xfId="0" applyFill="1" applyAlignment="1">
      <alignment horizontal="center"/>
    </xf>
    <xf numFmtId="0" fontId="0" fillId="3" borderId="0" xfId="0" applyFill="1"/>
    <xf numFmtId="2" fontId="1" fillId="3" borderId="1" xfId="0" applyNumberFormat="1" applyFont="1" applyFill="1" applyBorder="1"/>
    <xf numFmtId="0" fontId="0" fillId="0" borderId="9" xfId="0" applyFill="1" applyBorder="1"/>
    <xf numFmtId="0" fontId="0" fillId="7" borderId="0" xfId="0" applyFill="1" applyAlignment="1">
      <alignment horizontal="center"/>
    </xf>
    <xf numFmtId="0" fontId="0" fillId="7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6" borderId="1" xfId="0" quotePrefix="1" applyFill="1" applyBorder="1"/>
    <xf numFmtId="0" fontId="0" fillId="6" borderId="1" xfId="0" quotePrefix="1" applyNumberFormat="1" applyFill="1" applyBorder="1"/>
    <xf numFmtId="11" fontId="0" fillId="0" borderId="0" xfId="0" applyNumberFormat="1"/>
    <xf numFmtId="11" fontId="7" fillId="0" borderId="0" xfId="0" applyNumberFormat="1" applyFont="1"/>
    <xf numFmtId="0" fontId="0" fillId="8" borderId="0" xfId="0" applyFill="1" applyAlignment="1">
      <alignment horizontal="center"/>
    </xf>
    <xf numFmtId="0" fontId="0" fillId="8" borderId="0" xfId="0" applyFill="1"/>
    <xf numFmtId="184" fontId="0" fillId="8" borderId="0" xfId="0" applyNumberFormat="1" applyFill="1"/>
    <xf numFmtId="11" fontId="0" fillId="8" borderId="0" xfId="0" applyNumberFormat="1" applyFill="1"/>
  </cellXfs>
  <cellStyles count="2">
    <cellStyle name="Normal 2" xfId="1" xr:uid="{97E7E82C-279B-462A-9EC4-A3E190B5602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30</xdr:row>
      <xdr:rowOff>25400</xdr:rowOff>
    </xdr:from>
    <xdr:to>
      <xdr:col>5</xdr:col>
      <xdr:colOff>1130300</xdr:colOff>
      <xdr:row>33</xdr:row>
      <xdr:rowOff>127000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268E212-1272-78E4-EE54-87B1DB2E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6000" y="5765800"/>
          <a:ext cx="1054100" cy="67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30</xdr:row>
      <xdr:rowOff>25400</xdr:rowOff>
    </xdr:from>
    <xdr:to>
      <xdr:col>7</xdr:col>
      <xdr:colOff>114300</xdr:colOff>
      <xdr:row>33</xdr:row>
      <xdr:rowOff>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FE29862-351D-8B47-A145-02E51B471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1300" y="5765800"/>
          <a:ext cx="1143000" cy="546100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33</xdr:row>
      <xdr:rowOff>63500</xdr:rowOff>
    </xdr:from>
    <xdr:to>
      <xdr:col>7</xdr:col>
      <xdr:colOff>279400</xdr:colOff>
      <xdr:row>37</xdr:row>
      <xdr:rowOff>139700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B0502FD-B8F9-1F82-8CB4-626D3692C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6375400"/>
          <a:ext cx="12446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455A-7901-4AA2-9D27-80FBD289B417}">
  <dimension ref="B2:U29"/>
  <sheetViews>
    <sheetView showGridLines="0" workbookViewId="0">
      <selection activeCell="N28" sqref="N28"/>
    </sheetView>
  </sheetViews>
  <sheetFormatPr baseColWidth="10" defaultColWidth="8.83203125" defaultRowHeight="15" x14ac:dyDescent="0.2"/>
  <cols>
    <col min="1" max="1" width="5.1640625" customWidth="1"/>
    <col min="2" max="2" width="9.33203125" customWidth="1"/>
    <col min="3" max="3" width="12.1640625" bestFit="1" customWidth="1"/>
    <col min="4" max="4" width="18.6640625" customWidth="1"/>
    <col min="5" max="5" width="17" bestFit="1" customWidth="1"/>
    <col min="6" max="6" width="17" customWidth="1"/>
    <col min="7" max="7" width="12.6640625" bestFit="1" customWidth="1"/>
    <col min="8" max="8" width="13.83203125" bestFit="1" customWidth="1"/>
    <col min="9" max="9" width="12" bestFit="1" customWidth="1"/>
    <col min="10" max="10" width="10.5" bestFit="1" customWidth="1"/>
    <col min="12" max="12" width="11.1640625" bestFit="1" customWidth="1"/>
    <col min="14" max="14" width="21" customWidth="1"/>
    <col min="15" max="15" width="13.83203125" bestFit="1" customWidth="1"/>
    <col min="16" max="16" width="12.1640625" bestFit="1" customWidth="1"/>
  </cols>
  <sheetData>
    <row r="2" spans="2:21" x14ac:dyDescent="0.2">
      <c r="B2" s="1" t="s">
        <v>1</v>
      </c>
      <c r="C2" s="1" t="s">
        <v>0</v>
      </c>
      <c r="D2" s="1" t="s">
        <v>35</v>
      </c>
      <c r="E2" s="1" t="s">
        <v>36</v>
      </c>
      <c r="F2" s="30"/>
      <c r="I2" s="3">
        <v>2024</v>
      </c>
      <c r="J2" s="3">
        <v>2025</v>
      </c>
      <c r="K2" s="3">
        <v>2026</v>
      </c>
      <c r="L2" s="3">
        <v>2027</v>
      </c>
      <c r="M2" s="3">
        <v>2028</v>
      </c>
      <c r="N2" s="3">
        <v>2029</v>
      </c>
      <c r="O2" s="3">
        <v>2030</v>
      </c>
      <c r="P2" s="3">
        <v>2031</v>
      </c>
      <c r="Q2" s="3">
        <v>2032</v>
      </c>
      <c r="R2" s="3">
        <v>2033</v>
      </c>
      <c r="S2" s="3">
        <v>2034</v>
      </c>
      <c r="T2" s="3">
        <v>2035</v>
      </c>
      <c r="U2" s="3">
        <v>2036</v>
      </c>
    </row>
    <row r="3" spans="2:21" x14ac:dyDescent="0.2">
      <c r="B3" s="1">
        <v>2013</v>
      </c>
      <c r="C3" s="2">
        <v>1.7000000000000001E-2</v>
      </c>
      <c r="D3" s="19">
        <v>718008</v>
      </c>
      <c r="G3" s="3" t="s">
        <v>5</v>
      </c>
      <c r="H3" s="3">
        <v>35000</v>
      </c>
      <c r="I3" s="3">
        <f>H3*(1+$C$15)</f>
        <v>35952.583333333336</v>
      </c>
      <c r="J3" s="3">
        <f t="shared" ref="J3:U3" si="0">I3*(1+$C$15)</f>
        <v>36931.092809722228</v>
      </c>
      <c r="K3" s="3">
        <f t="shared" si="0"/>
        <v>37936.234052360167</v>
      </c>
      <c r="L3" s="3">
        <f t="shared" si="0"/>
        <v>38968.731889151903</v>
      </c>
      <c r="M3" s="3">
        <f t="shared" si="0"/>
        <v>40029.330875401654</v>
      </c>
      <c r="N3" s="3">
        <f t="shared" si="0"/>
        <v>41118.795830727169</v>
      </c>
      <c r="O3" s="3">
        <f t="shared" si="0"/>
        <v>42237.912390586796</v>
      </c>
      <c r="P3" s="3">
        <f t="shared" si="0"/>
        <v>43387.48757281727</v>
      </c>
      <c r="Q3" s="3">
        <f t="shared" si="0"/>
        <v>44568.350359590782</v>
      </c>
      <c r="R3" s="3">
        <f t="shared" si="0"/>
        <v>45781.352295210978</v>
      </c>
      <c r="S3" s="3">
        <f t="shared" si="0"/>
        <v>47027.368100178966</v>
      </c>
      <c r="T3" s="3">
        <f t="shared" si="0"/>
        <v>48307.296301972172</v>
      </c>
      <c r="U3" s="3">
        <f t="shared" si="0"/>
        <v>49622.059882990849</v>
      </c>
    </row>
    <row r="4" spans="2:21" x14ac:dyDescent="0.2">
      <c r="B4" s="1">
        <v>2014</v>
      </c>
      <c r="C4" s="2">
        <v>2.3E-2</v>
      </c>
      <c r="D4" s="19">
        <v>747459</v>
      </c>
      <c r="E4">
        <f>(D4-D3)/D3</f>
        <v>4.1017648828425311E-2</v>
      </c>
      <c r="G4" s="3" t="s">
        <v>10</v>
      </c>
      <c r="H4" s="3">
        <v>15000</v>
      </c>
      <c r="I4" s="3">
        <f>H4*(1+$B$24)</f>
        <v>15404.384572855044</v>
      </c>
      <c r="J4" s="3">
        <f>I4*(1+$B$24)</f>
        <v>15819.670937894298</v>
      </c>
      <c r="K4" s="3">
        <f>J4*(1+$B$24)</f>
        <v>16246.152996222812</v>
      </c>
      <c r="L4" s="3">
        <f>K4*(1+$B$24)</f>
        <v>16684.13257221716</v>
      </c>
      <c r="M4" s="3">
        <f>L4*(1+$B$24)</f>
        <v>17133.919627128689</v>
      </c>
      <c r="N4" s="3">
        <f>M4*(1+$B$24)</f>
        <v>17595.832478445293</v>
      </c>
      <c r="O4" s="3">
        <f>N4*(1+$B$24)</f>
        <v>18070.198025166959</v>
      </c>
      <c r="P4" s="3">
        <f>O4*(1+$B$24)</f>
        <v>18557.351979154504</v>
      </c>
      <c r="Q4" s="3">
        <f>P4*(1+$B$24)</f>
        <v>19057.639102715242</v>
      </c>
      <c r="R4" s="3">
        <f>Q4*(1+$B$24)</f>
        <v>19571.413452593715</v>
      </c>
      <c r="S4" s="3">
        <f>R4*(1+$B$24)</f>
        <v>20099.038630540152</v>
      </c>
      <c r="T4" s="3">
        <f>S4*(1+$B$24)</f>
        <v>20640.888040634018</v>
      </c>
      <c r="U4" s="3">
        <f>T4*(1+$B$24)</f>
        <v>21197.34515354472</v>
      </c>
    </row>
    <row r="5" spans="2:21" x14ac:dyDescent="0.2">
      <c r="B5" s="1">
        <v>2015</v>
      </c>
      <c r="C5" s="2">
        <v>2.4E-2</v>
      </c>
      <c r="D5" s="19">
        <v>770724.25</v>
      </c>
      <c r="E5">
        <f t="shared" ref="E5:E13" si="1">(D5-D4)/D4</f>
        <v>3.1125787501388037E-2</v>
      </c>
      <c r="G5" s="3" t="s">
        <v>9</v>
      </c>
      <c r="H5" s="3">
        <f>H3-H4</f>
        <v>20000</v>
      </c>
      <c r="I5" s="3">
        <f>I3-I4</f>
        <v>20548.198760478292</v>
      </c>
      <c r="J5" s="3">
        <f t="shared" ref="J5:U5" si="2">J3-J4</f>
        <v>21111.42187182793</v>
      </c>
      <c r="K5" s="3">
        <f t="shared" si="2"/>
        <v>21690.081056137355</v>
      </c>
      <c r="L5" s="3">
        <f t="shared" si="2"/>
        <v>22284.599316934742</v>
      </c>
      <c r="M5" s="3">
        <f t="shared" si="2"/>
        <v>22895.411248272965</v>
      </c>
      <c r="N5" s="3">
        <f t="shared" si="2"/>
        <v>23522.963352281877</v>
      </c>
      <c r="O5" s="3">
        <f t="shared" si="2"/>
        <v>24167.714365419837</v>
      </c>
      <c r="P5" s="3">
        <f t="shared" si="2"/>
        <v>24830.135593662766</v>
      </c>
      <c r="Q5" s="3">
        <f t="shared" si="2"/>
        <v>25510.71125687554</v>
      </c>
      <c r="R5" s="3">
        <f t="shared" si="2"/>
        <v>26209.938842617263</v>
      </c>
      <c r="S5" s="3">
        <f t="shared" si="2"/>
        <v>26928.329469638815</v>
      </c>
      <c r="T5" s="3">
        <f t="shared" si="2"/>
        <v>27666.408261338154</v>
      </c>
      <c r="U5" s="3">
        <f t="shared" si="2"/>
        <v>28424.714729446128</v>
      </c>
    </row>
    <row r="6" spans="2:21" x14ac:dyDescent="0.2">
      <c r="B6" s="1">
        <v>2016</v>
      </c>
      <c r="C6" s="2">
        <v>2.5000000000000001E-2</v>
      </c>
      <c r="D6" s="19">
        <v>797721.5</v>
      </c>
      <c r="E6">
        <f t="shared" si="1"/>
        <v>3.5028416453744646E-2</v>
      </c>
    </row>
    <row r="7" spans="2:21" x14ac:dyDescent="0.2">
      <c r="B7" s="1">
        <v>2017</v>
      </c>
      <c r="C7" s="2">
        <v>1.7999999999999999E-2</v>
      </c>
      <c r="D7" s="19">
        <v>833818</v>
      </c>
      <c r="E7">
        <f t="shared" si="1"/>
        <v>4.5249501235706945E-2</v>
      </c>
      <c r="H7" s="28" t="s">
        <v>8</v>
      </c>
      <c r="I7" s="37">
        <f>NPV(I18,I5:U5)</f>
        <v>237066.96591181267</v>
      </c>
      <c r="L7" t="s">
        <v>19</v>
      </c>
      <c r="M7" t="s">
        <v>52</v>
      </c>
    </row>
    <row r="8" spans="2:21" x14ac:dyDescent="0.2">
      <c r="B8" s="1">
        <v>2018</v>
      </c>
      <c r="C8" s="2">
        <v>2.9000000000000001E-2</v>
      </c>
      <c r="D8" s="19">
        <v>858976</v>
      </c>
      <c r="E8">
        <f t="shared" si="1"/>
        <v>3.0172051934594841E-2</v>
      </c>
      <c r="H8" s="28" t="s">
        <v>12</v>
      </c>
      <c r="I8" s="37">
        <f>100000+I7+400000</f>
        <v>737066.96591181261</v>
      </c>
      <c r="L8">
        <v>100000</v>
      </c>
      <c r="M8">
        <v>400000</v>
      </c>
    </row>
    <row r="9" spans="2:21" x14ac:dyDescent="0.2">
      <c r="B9" s="1">
        <v>2019</v>
      </c>
      <c r="C9" s="2">
        <v>2.9000000000000001E-2</v>
      </c>
      <c r="D9" s="19">
        <v>885249</v>
      </c>
      <c r="E9">
        <f t="shared" si="1"/>
        <v>3.0586419178184256E-2</v>
      </c>
      <c r="H9" s="3" t="s">
        <v>13</v>
      </c>
      <c r="I9" s="3">
        <f>400000/I8</f>
        <v>0.5426915307555088</v>
      </c>
    </row>
    <row r="10" spans="2:21" x14ac:dyDescent="0.2">
      <c r="B10" s="1">
        <v>2020</v>
      </c>
      <c r="C10" s="2">
        <v>-5.0000000000000001E-3</v>
      </c>
      <c r="D10" s="19">
        <v>860661</v>
      </c>
      <c r="E10">
        <f t="shared" si="1"/>
        <v>-2.7775236120006912E-2</v>
      </c>
      <c r="H10" s="3" t="s">
        <v>14</v>
      </c>
      <c r="I10" s="3">
        <v>5</v>
      </c>
    </row>
    <row r="11" spans="2:21" x14ac:dyDescent="0.2">
      <c r="B11" s="1">
        <v>2021</v>
      </c>
      <c r="C11" s="2">
        <v>3.1E-2</v>
      </c>
      <c r="D11" s="19">
        <v>916826.5</v>
      </c>
      <c r="E11">
        <f t="shared" si="1"/>
        <v>6.5258562895263064E-2</v>
      </c>
      <c r="H11" s="28" t="s">
        <v>15</v>
      </c>
      <c r="I11" s="28">
        <f>I9+I10-I10*I9</f>
        <v>2.8292338769779644</v>
      </c>
    </row>
    <row r="12" spans="2:21" x14ac:dyDescent="0.2">
      <c r="B12" s="1">
        <v>2022</v>
      </c>
      <c r="C12" s="2">
        <v>3.5000000000000003E-2</v>
      </c>
      <c r="D12" s="19">
        <v>986815.25</v>
      </c>
      <c r="E12">
        <f t="shared" si="1"/>
        <v>7.6338053055839905E-2</v>
      </c>
    </row>
    <row r="13" spans="2:21" x14ac:dyDescent="0.2">
      <c r="B13" s="1">
        <v>2023</v>
      </c>
      <c r="C13" s="2">
        <v>5.5E-2</v>
      </c>
      <c r="D13" s="19">
        <v>1046781</v>
      </c>
      <c r="E13">
        <f t="shared" si="1"/>
        <v>6.0766947004517818E-2</v>
      </c>
    </row>
    <row r="14" spans="2:21" x14ac:dyDescent="0.2">
      <c r="B14" s="1">
        <v>2024</v>
      </c>
      <c r="C14" s="2">
        <v>4.5600000000000002E-2</v>
      </c>
      <c r="D14" s="4"/>
      <c r="E14" s="4"/>
      <c r="F14" s="4"/>
      <c r="J14" t="s">
        <v>66</v>
      </c>
      <c r="K14" t="s">
        <v>67</v>
      </c>
      <c r="L14" t="s">
        <v>68</v>
      </c>
    </row>
    <row r="15" spans="2:21" ht="16" x14ac:dyDescent="0.2">
      <c r="B15" s="1" t="s">
        <v>2</v>
      </c>
      <c r="C15" s="2">
        <f>AVERAGE(C3:C14)</f>
        <v>2.7216666666666667E-2</v>
      </c>
      <c r="D15" s="4"/>
      <c r="E15" s="4"/>
      <c r="F15" s="4"/>
      <c r="H15" s="1" t="s">
        <v>6</v>
      </c>
      <c r="I15" s="1">
        <v>2.631E-2</v>
      </c>
      <c r="J15" s="48">
        <v>7.6022999999999998E-4</v>
      </c>
      <c r="K15" s="34">
        <v>1.5E-3</v>
      </c>
      <c r="L15">
        <f>K15^2</f>
        <v>2.2500000000000001E-6</v>
      </c>
    </row>
    <row r="16" spans="2:21" x14ac:dyDescent="0.2">
      <c r="B16" s="1" t="s">
        <v>3</v>
      </c>
      <c r="C16" s="1">
        <f>_xlfn.STDEV.S(C3:C14)</f>
        <v>1.4928303400729854E-2</v>
      </c>
      <c r="H16" s="1" t="s">
        <v>4</v>
      </c>
      <c r="I16" s="1">
        <f>C16</f>
        <v>1.4928303400729854E-2</v>
      </c>
    </row>
    <row r="17" spans="2:19" x14ac:dyDescent="0.2">
      <c r="B17" s="1" t="s">
        <v>48</v>
      </c>
      <c r="C17" s="1">
        <f>C16^2</f>
        <v>2.2285424242424252E-4</v>
      </c>
    </row>
    <row r="18" spans="2:19" x14ac:dyDescent="0.2">
      <c r="D18" s="29" t="s">
        <v>29</v>
      </c>
      <c r="E18" s="29">
        <v>0.9</v>
      </c>
      <c r="F18" s="31"/>
      <c r="H18" s="1" t="s">
        <v>7</v>
      </c>
      <c r="I18" s="1">
        <f>I15+I16</f>
        <v>4.1238303400729856E-2</v>
      </c>
    </row>
    <row r="19" spans="2:19" x14ac:dyDescent="0.2">
      <c r="D19" s="29" t="s">
        <v>37</v>
      </c>
      <c r="E19" s="29">
        <f>_xlfn.COVARIANCE.S(C4:C13,E4:E13)</f>
        <v>3.4238314217265861E-4</v>
      </c>
      <c r="F19" s="31"/>
      <c r="L19" s="39" t="s">
        <v>49</v>
      </c>
      <c r="M19" s="39"/>
      <c r="N19" s="39"/>
      <c r="P19" s="44" t="s">
        <v>58</v>
      </c>
      <c r="Q19" s="44" t="s">
        <v>60</v>
      </c>
      <c r="R19" s="44" t="s">
        <v>61</v>
      </c>
      <c r="S19" s="44" t="s">
        <v>59</v>
      </c>
    </row>
    <row r="20" spans="2:19" x14ac:dyDescent="0.2">
      <c r="L20" s="40" t="s">
        <v>50</v>
      </c>
      <c r="M20" s="40">
        <f>P20*Q20/R20+S20</f>
        <v>6.6540641248804686</v>
      </c>
      <c r="N20" s="40"/>
      <c r="P20" s="44">
        <f>(1/E18)</f>
        <v>1.1111111111111112</v>
      </c>
      <c r="Q20" s="44">
        <f>F26 + G26/2</f>
        <v>1.7164644999999999E-2</v>
      </c>
      <c r="R20" s="46">
        <f>(G26*I11*(L8/(I8-M8)))</f>
        <v>2.7945010952952192E-3</v>
      </c>
      <c r="S20" s="45">
        <f>+(1-1/E18)*(E19/C17)</f>
        <v>-0.17070606751159292</v>
      </c>
    </row>
    <row r="21" spans="2:19" x14ac:dyDescent="0.2">
      <c r="L21" s="41" t="s">
        <v>55</v>
      </c>
      <c r="M21" s="41"/>
      <c r="N21" s="42"/>
      <c r="O21" s="43"/>
      <c r="P21" s="43"/>
      <c r="Q21" s="43"/>
      <c r="R21" s="43"/>
    </row>
    <row r="22" spans="2:19" x14ac:dyDescent="0.2">
      <c r="L22" s="42" t="s">
        <v>51</v>
      </c>
      <c r="M22" s="42">
        <f>1-M20</f>
        <v>-5.6540641248804686</v>
      </c>
      <c r="N22" s="42"/>
      <c r="O22" s="43"/>
      <c r="P22" s="43"/>
      <c r="Q22" s="43"/>
      <c r="R22" s="43"/>
    </row>
    <row r="23" spans="2:19" x14ac:dyDescent="0.2">
      <c r="B23" s="30" t="s">
        <v>11</v>
      </c>
    </row>
    <row r="24" spans="2:19" x14ac:dyDescent="0.2">
      <c r="B24" s="33">
        <v>2.6958971523669467E-2</v>
      </c>
      <c r="F24" s="35" t="s">
        <v>56</v>
      </c>
      <c r="G24" s="35"/>
    </row>
    <row r="25" spans="2:19" x14ac:dyDescent="0.2">
      <c r="F25" s="36" t="s">
        <v>57</v>
      </c>
      <c r="G25" s="36" t="s">
        <v>54</v>
      </c>
      <c r="H25" s="38"/>
      <c r="L25" s="49" t="s">
        <v>53</v>
      </c>
      <c r="M25" s="49"/>
      <c r="N25" s="49"/>
    </row>
    <row r="26" spans="2:19" ht="16" x14ac:dyDescent="0.2">
      <c r="F26" s="34">
        <v>1.55E-2</v>
      </c>
      <c r="G26" s="34">
        <f>0.0577^2</f>
        <v>3.3292899999999999E-3</v>
      </c>
      <c r="L26" s="50" t="s">
        <v>69</v>
      </c>
      <c r="M26" s="50"/>
      <c r="N26" s="52">
        <f>M20*F26+M22*J15</f>
        <v>9.8839604765989381E-2</v>
      </c>
    </row>
    <row r="27" spans="2:19" x14ac:dyDescent="0.2">
      <c r="L27" s="50" t="s">
        <v>67</v>
      </c>
      <c r="M27" s="50"/>
      <c r="N27" s="50">
        <f>SQRT(M20^2*G26+M22^2*L15)</f>
        <v>0.38403316088209233</v>
      </c>
    </row>
    <row r="28" spans="2:19" x14ac:dyDescent="0.2">
      <c r="F28" s="36" t="s">
        <v>63</v>
      </c>
      <c r="L28" s="50" t="s">
        <v>70</v>
      </c>
      <c r="M28" s="50"/>
      <c r="N28" s="50">
        <f>N26/N27</f>
        <v>0.25737257829236154</v>
      </c>
    </row>
    <row r="29" spans="2:19" ht="16" x14ac:dyDescent="0.2">
      <c r="F29" s="34">
        <v>0.26879999999999998</v>
      </c>
    </row>
  </sheetData>
  <mergeCells count="4">
    <mergeCell ref="L19:N19"/>
    <mergeCell ref="F24:G24"/>
    <mergeCell ref="L21:M21"/>
    <mergeCell ref="L25:N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94F-5CAF-40DD-8632-A6B0EE6C5323}">
  <dimension ref="B2:BR32"/>
  <sheetViews>
    <sheetView showGridLines="0" tabSelected="1" workbookViewId="0">
      <selection activeCell="H11" sqref="H11"/>
    </sheetView>
  </sheetViews>
  <sheetFormatPr baseColWidth="10" defaultColWidth="8.83203125" defaultRowHeight="15" x14ac:dyDescent="0.2"/>
  <cols>
    <col min="1" max="1" width="5.1640625" customWidth="1"/>
    <col min="2" max="2" width="7.5" bestFit="1" customWidth="1"/>
    <col min="3" max="3" width="30" bestFit="1" customWidth="1"/>
    <col min="4" max="4" width="32.5" bestFit="1" customWidth="1"/>
    <col min="5" max="5" width="12.1640625" customWidth="1"/>
    <col min="6" max="6" width="15.5" bestFit="1" customWidth="1"/>
    <col min="7" max="7" width="13.83203125" bestFit="1" customWidth="1"/>
    <col min="8" max="8" width="13.1640625" bestFit="1" customWidth="1"/>
    <col min="10" max="11" width="12.1640625" bestFit="1" customWidth="1"/>
    <col min="14" max="14" width="36.1640625" customWidth="1"/>
  </cols>
  <sheetData>
    <row r="2" spans="2:70" x14ac:dyDescent="0.2">
      <c r="B2" s="10"/>
      <c r="C2" s="8" t="s">
        <v>20</v>
      </c>
      <c r="D2" s="1" t="s">
        <v>16</v>
      </c>
      <c r="H2" s="3">
        <v>2024</v>
      </c>
      <c r="I2" s="3">
        <v>2025</v>
      </c>
      <c r="J2" s="3">
        <v>2026</v>
      </c>
      <c r="K2" s="3">
        <v>2027</v>
      </c>
      <c r="L2" s="3">
        <v>2028</v>
      </c>
      <c r="M2" s="3">
        <v>2029</v>
      </c>
      <c r="N2" s="3">
        <v>2030</v>
      </c>
      <c r="O2" s="3">
        <v>2031</v>
      </c>
      <c r="P2" s="3">
        <v>2032</v>
      </c>
      <c r="Q2" s="3">
        <v>2033</v>
      </c>
      <c r="R2" s="3">
        <v>2034</v>
      </c>
      <c r="S2" s="3">
        <v>2035</v>
      </c>
      <c r="T2" s="3">
        <v>2036</v>
      </c>
      <c r="U2" s="3">
        <v>2037</v>
      </c>
      <c r="V2" s="3">
        <v>2038</v>
      </c>
      <c r="W2" s="3">
        <v>2039</v>
      </c>
      <c r="X2" s="3">
        <v>2040</v>
      </c>
      <c r="Y2" s="3">
        <v>2041</v>
      </c>
      <c r="Z2" s="3">
        <v>2042</v>
      </c>
      <c r="AA2" s="3">
        <v>2043</v>
      </c>
      <c r="AB2" s="3">
        <v>2044</v>
      </c>
      <c r="AC2" s="3">
        <v>2045</v>
      </c>
      <c r="AD2" s="3">
        <v>2046</v>
      </c>
      <c r="AE2" s="3">
        <v>2047</v>
      </c>
      <c r="AF2" s="3">
        <v>2048</v>
      </c>
      <c r="AG2" s="3">
        <v>2049</v>
      </c>
      <c r="AH2" s="3">
        <v>2050</v>
      </c>
      <c r="AI2" s="3">
        <v>2051</v>
      </c>
      <c r="AJ2" s="3">
        <v>2052</v>
      </c>
      <c r="AK2" s="3">
        <v>2053</v>
      </c>
      <c r="AL2" s="3">
        <v>2054</v>
      </c>
      <c r="AM2" s="3">
        <v>2055</v>
      </c>
      <c r="AN2" s="3">
        <v>2056</v>
      </c>
      <c r="AO2" s="3">
        <v>2057</v>
      </c>
      <c r="AP2" s="3">
        <v>2058</v>
      </c>
      <c r="AQ2" s="3">
        <v>2059</v>
      </c>
      <c r="AR2" s="3">
        <v>2060</v>
      </c>
      <c r="AS2" s="3">
        <v>2061</v>
      </c>
      <c r="AT2" s="3">
        <v>2062</v>
      </c>
      <c r="AU2" s="3">
        <v>2063</v>
      </c>
      <c r="AV2" s="3">
        <v>2064</v>
      </c>
      <c r="AW2" s="3">
        <v>2065</v>
      </c>
      <c r="AX2" s="3">
        <v>2066</v>
      </c>
      <c r="AY2" s="3">
        <v>2067</v>
      </c>
      <c r="AZ2" s="3">
        <v>2068</v>
      </c>
      <c r="BA2" s="3">
        <v>2069</v>
      </c>
      <c r="BB2" s="3">
        <v>2070</v>
      </c>
      <c r="BC2" s="3">
        <v>2071</v>
      </c>
      <c r="BD2" s="3">
        <v>2072</v>
      </c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</row>
    <row r="3" spans="2:70" x14ac:dyDescent="0.2">
      <c r="B3" s="9" t="s">
        <v>2</v>
      </c>
      <c r="C3" s="2">
        <v>3.7660493827160496E-2</v>
      </c>
      <c r="D3" s="2">
        <f>AVERAGE(computations!K2:K65)</f>
        <v>2.7563859531249991E-2</v>
      </c>
      <c r="E3" s="4"/>
      <c r="F3" s="3" t="s">
        <v>17</v>
      </c>
      <c r="G3" s="3">
        <v>80000</v>
      </c>
      <c r="H3" s="3">
        <f t="shared" ref="H3:T3" si="0">G3*(1+$C$3)</f>
        <v>83012.839506172837</v>
      </c>
      <c r="I3" s="3">
        <f t="shared" si="0"/>
        <v>86139.144035970123</v>
      </c>
      <c r="J3" s="3">
        <f t="shared" si="0"/>
        <v>89383.18673821367</v>
      </c>
      <c r="K3" s="3">
        <f t="shared" si="0"/>
        <v>92749.4016906201</v>
      </c>
      <c r="L3" s="3">
        <f t="shared" si="0"/>
        <v>96242.389960462533</v>
      </c>
      <c r="M3" s="3">
        <f t="shared" si="0"/>
        <v>99866.925893479711</v>
      </c>
      <c r="N3" s="3">
        <f t="shared" si="0"/>
        <v>103627.96363962861</v>
      </c>
      <c r="O3" s="3">
        <f t="shared" si="0"/>
        <v>107530.64392460005</v>
      </c>
      <c r="P3" s="3">
        <f t="shared" si="0"/>
        <v>111580.30107635305</v>
      </c>
      <c r="Q3" s="3">
        <f t="shared" si="0"/>
        <v>115782.47031627175</v>
      </c>
      <c r="R3" s="3">
        <f t="shared" si="0"/>
        <v>120142.89532491109</v>
      </c>
      <c r="S3" s="3">
        <f t="shared" si="0"/>
        <v>124667.5360926721</v>
      </c>
      <c r="T3" s="3">
        <f t="shared" si="0"/>
        <v>129362.5770661375</v>
      </c>
      <c r="U3" s="3">
        <f t="shared" ref="U3:AQ3" si="1">T3*(1+$C$3)</f>
        <v>134234.43560120233</v>
      </c>
      <c r="V3" s="3">
        <f t="shared" si="1"/>
        <v>139289.77073455378</v>
      </c>
      <c r="W3" s="3">
        <f t="shared" si="1"/>
        <v>144535.49228548905</v>
      </c>
      <c r="X3" s="3">
        <f t="shared" si="1"/>
        <v>149978.77030051232</v>
      </c>
      <c r="Y3" s="3">
        <f t="shared" si="1"/>
        <v>155627.04485361988</v>
      </c>
      <c r="Z3" s="3">
        <f t="shared" si="1"/>
        <v>161488.03621566886</v>
      </c>
      <c r="AA3" s="3">
        <f t="shared" si="1"/>
        <v>167569.75540672932</v>
      </c>
      <c r="AB3" s="3">
        <f t="shared" si="1"/>
        <v>173880.51514584327</v>
      </c>
      <c r="AC3" s="3">
        <f t="shared" si="1"/>
        <v>180428.9412131568</v>
      </c>
      <c r="AD3" s="3">
        <f t="shared" si="1"/>
        <v>187223.98423995599</v>
      </c>
      <c r="AE3" s="3">
        <f t="shared" si="1"/>
        <v>194274.93194272125</v>
      </c>
      <c r="AF3" s="3">
        <f t="shared" si="1"/>
        <v>201591.42181792212</v>
      </c>
      <c r="AG3" s="3">
        <f t="shared" si="1"/>
        <v>209183.45431490449</v>
      </c>
      <c r="AH3" s="3">
        <f t="shared" si="1"/>
        <v>217061.40650487508</v>
      </c>
      <c r="AI3" s="3">
        <f t="shared" si="1"/>
        <v>225236.04626466671</v>
      </c>
      <c r="AJ3" s="3">
        <f t="shared" si="1"/>
        <v>233718.54699467123</v>
      </c>
      <c r="AK3" s="3">
        <f t="shared" si="1"/>
        <v>242520.50289105697</v>
      </c>
      <c r="AL3" s="3">
        <f t="shared" si="1"/>
        <v>251653.94479314549</v>
      </c>
      <c r="AM3" s="3">
        <f t="shared" si="1"/>
        <v>261131.35662760833</v>
      </c>
      <c r="AN3" s="3">
        <f t="shared" si="1"/>
        <v>270965.69247196044</v>
      </c>
      <c r="AO3" s="3">
        <f t="shared" si="1"/>
        <v>281170.39426067297</v>
      </c>
      <c r="AP3" s="3">
        <f t="shared" si="1"/>
        <v>291759.41015810735</v>
      </c>
      <c r="AQ3" s="3">
        <f t="shared" si="1"/>
        <v>302747.21362338273</v>
      </c>
      <c r="AR3" s="3">
        <v>168747.18687855842</v>
      </c>
      <c r="AS3" s="3">
        <v>168747.18687855842</v>
      </c>
      <c r="AT3" s="3">
        <f>AS3*(1+$D$3)</f>
        <v>173398.51063397259</v>
      </c>
      <c r="AU3" s="3">
        <f t="shared" ref="AU3:BD3" si="2">AT3*(1+$D$3)</f>
        <v>178178.04282401537</v>
      </c>
      <c r="AV3" s="3">
        <f t="shared" si="2"/>
        <v>183089.31736796958</v>
      </c>
      <c r="AW3" s="3">
        <f t="shared" si="2"/>
        <v>188135.96559357274</v>
      </c>
      <c r="AX3" s="3">
        <f t="shared" si="2"/>
        <v>193321.71892197005</v>
      </c>
      <c r="AY3" s="3">
        <f t="shared" si="2"/>
        <v>198650.41162667502</v>
      </c>
      <c r="AZ3" s="3">
        <f t="shared" si="2"/>
        <v>204125.98366857768</v>
      </c>
      <c r="BA3" s="3">
        <f t="shared" si="2"/>
        <v>209752.48360909658</v>
      </c>
      <c r="BB3" s="3">
        <f t="shared" si="2"/>
        <v>215534.07160362854</v>
      </c>
      <c r="BC3" s="3">
        <f t="shared" si="2"/>
        <v>221475.02247750934</v>
      </c>
      <c r="BD3" s="3">
        <f t="shared" si="2"/>
        <v>227579.72888675984</v>
      </c>
    </row>
    <row r="4" spans="2:70" x14ac:dyDescent="0.2">
      <c r="B4" s="11" t="s">
        <v>3</v>
      </c>
      <c r="C4" s="11">
        <v>1.1370788548970025E-2</v>
      </c>
      <c r="D4" s="4"/>
      <c r="E4" s="4"/>
      <c r="F4" s="3" t="s">
        <v>18</v>
      </c>
      <c r="G4" s="3">
        <v>60000</v>
      </c>
      <c r="H4" s="3">
        <v>60000</v>
      </c>
      <c r="I4" s="3">
        <v>60000</v>
      </c>
      <c r="J4" s="3">
        <v>60000</v>
      </c>
      <c r="K4" s="3">
        <v>60000</v>
      </c>
      <c r="L4" s="3">
        <v>60000</v>
      </c>
      <c r="M4" s="3">
        <v>60000</v>
      </c>
      <c r="N4" s="3">
        <v>60000</v>
      </c>
      <c r="O4" s="3">
        <v>60000</v>
      </c>
      <c r="P4" s="3">
        <v>60000</v>
      </c>
      <c r="Q4" s="3">
        <v>60000</v>
      </c>
      <c r="R4" s="3">
        <v>60000</v>
      </c>
      <c r="S4" s="3">
        <v>60000</v>
      </c>
      <c r="T4" s="3">
        <v>60000</v>
      </c>
      <c r="U4" s="3">
        <v>60000</v>
      </c>
      <c r="V4" s="3">
        <v>60000</v>
      </c>
      <c r="W4" s="3">
        <v>60000</v>
      </c>
      <c r="X4" s="3">
        <v>60000</v>
      </c>
      <c r="Y4" s="3">
        <v>60000</v>
      </c>
      <c r="Z4" s="3">
        <v>60000</v>
      </c>
      <c r="AA4" s="3">
        <v>60000</v>
      </c>
      <c r="AB4" s="3">
        <v>60000</v>
      </c>
      <c r="AC4" s="3">
        <v>60000</v>
      </c>
      <c r="AD4" s="3">
        <v>60000</v>
      </c>
      <c r="AE4" s="3">
        <v>60000</v>
      </c>
      <c r="AF4" s="3">
        <v>60000</v>
      </c>
      <c r="AG4" s="3">
        <v>60000</v>
      </c>
      <c r="AH4" s="3">
        <v>60000</v>
      </c>
      <c r="AI4" s="3">
        <v>60000</v>
      </c>
      <c r="AJ4" s="3">
        <v>60000</v>
      </c>
      <c r="AK4" s="3">
        <v>60000</v>
      </c>
      <c r="AL4" s="3">
        <v>60000</v>
      </c>
      <c r="AM4" s="3">
        <v>60000</v>
      </c>
      <c r="AN4" s="3">
        <v>60000</v>
      </c>
      <c r="AO4" s="3">
        <v>60000</v>
      </c>
      <c r="AP4" s="3">
        <v>60000</v>
      </c>
      <c r="AQ4" s="3">
        <v>60000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2:70" x14ac:dyDescent="0.2">
      <c r="B5" s="12" t="s">
        <v>48</v>
      </c>
      <c r="C5" s="27">
        <f>C4^2</f>
        <v>1.2929483222538785E-4</v>
      </c>
      <c r="D5" s="4"/>
      <c r="E5" s="4"/>
      <c r="F5" s="3" t="s">
        <v>10</v>
      </c>
      <c r="G5" s="3">
        <f>30000+24000</f>
        <v>54000</v>
      </c>
      <c r="H5" s="3">
        <f>G5*(1+$D$3)</f>
        <v>55488.448414687497</v>
      </c>
      <c r="I5" s="3">
        <f t="shared" ref="I5:S5" si="3">H5*(1+$D$3)</f>
        <v>57017.924212396952</v>
      </c>
      <c r="J5" s="3">
        <f t="shared" si="3"/>
        <v>58589.558266150918</v>
      </c>
      <c r="K5" s="3">
        <f t="shared" si="3"/>
        <v>60204.512620197085</v>
      </c>
      <c r="L5" s="3">
        <f t="shared" si="3"/>
        <v>61863.981349207563</v>
      </c>
      <c r="M5" s="3">
        <f t="shared" si="3"/>
        <v>63569.191441160991</v>
      </c>
      <c r="N5" s="3">
        <f t="shared" si="3"/>
        <v>65321.403704560289</v>
      </c>
      <c r="O5" s="3">
        <f t="shared" si="3"/>
        <v>67121.913700656864</v>
      </c>
      <c r="P5" s="3">
        <f t="shared" si="3"/>
        <v>68972.052701370456</v>
      </c>
      <c r="Q5" s="3">
        <f t="shared" si="3"/>
        <v>70873.188673612996</v>
      </c>
      <c r="R5" s="3">
        <f t="shared" si="3"/>
        <v>72826.727290744238</v>
      </c>
      <c r="S5" s="3">
        <f t="shared" si="3"/>
        <v>74834.112971906958</v>
      </c>
      <c r="T5" s="3">
        <f>S5*(1+$D$3)</f>
        <v>76896.829950010288</v>
      </c>
      <c r="U5" s="3">
        <f t="shared" ref="U5:BD5" si="4">T5*(1+$D$3)</f>
        <v>79016.403369150779</v>
      </c>
      <c r="V5" s="3">
        <f t="shared" si="4"/>
        <v>81194.40041228263</v>
      </c>
      <c r="W5" s="3">
        <f t="shared" si="4"/>
        <v>83432.431459970845</v>
      </c>
      <c r="X5" s="3">
        <f t="shared" si="4"/>
        <v>85732.151281084123</v>
      </c>
      <c r="Y5" s="3">
        <f t="shared" si="4"/>
        <v>88095.260256307796</v>
      </c>
      <c r="Z5" s="3">
        <f t="shared" si="4"/>
        <v>90523.505635381574</v>
      </c>
      <c r="AA5" s="3">
        <f t="shared" si="4"/>
        <v>93018.682828991543</v>
      </c>
      <c r="AB5" s="3">
        <f t="shared" si="4"/>
        <v>95582.636736271757</v>
      </c>
      <c r="AC5" s="3">
        <f t="shared" si="4"/>
        <v>98217.263108896848</v>
      </c>
      <c r="AD5" s="3">
        <f t="shared" si="4"/>
        <v>100924.5099527743</v>
      </c>
      <c r="AE5" s="3">
        <f t="shared" si="4"/>
        <v>103706.37896837281</v>
      </c>
      <c r="AF5" s="3">
        <f t="shared" si="4"/>
        <v>106564.92703075161</v>
      </c>
      <c r="AG5" s="3">
        <f t="shared" si="4"/>
        <v>109502.26771038515</v>
      </c>
      <c r="AH5" s="3">
        <f t="shared" si="4"/>
        <v>112520.57283590753</v>
      </c>
      <c r="AI5" s="3">
        <f t="shared" si="4"/>
        <v>115622.07409993226</v>
      </c>
      <c r="AJ5" s="3">
        <f t="shared" si="4"/>
        <v>118809.06470913456</v>
      </c>
      <c r="AK5" s="3">
        <f t="shared" si="4"/>
        <v>122083.90107981634</v>
      </c>
      <c r="AL5" s="3">
        <f t="shared" si="4"/>
        <v>125449.0045802074</v>
      </c>
      <c r="AM5" s="3">
        <f t="shared" si="4"/>
        <v>128906.86332079137</v>
      </c>
      <c r="AN5" s="3">
        <f t="shared" si="4"/>
        <v>132460.03399397968</v>
      </c>
      <c r="AO5" s="3">
        <f t="shared" si="4"/>
        <v>136111.14376449434</v>
      </c>
      <c r="AP5" s="3">
        <f t="shared" si="4"/>
        <v>139862.89221185664</v>
      </c>
      <c r="AQ5" s="3">
        <f t="shared" si="4"/>
        <v>143718.05332641862</v>
      </c>
      <c r="AR5" s="3">
        <f t="shared" si="4"/>
        <v>147679.47756041272</v>
      </c>
      <c r="AS5" s="3">
        <f t="shared" si="4"/>
        <v>151750.09393553631</v>
      </c>
      <c r="AT5" s="3">
        <f t="shared" si="4"/>
        <v>155932.91220862942</v>
      </c>
      <c r="AU5" s="3">
        <f t="shared" si="4"/>
        <v>160231.0250970468</v>
      </c>
      <c r="AV5" s="3">
        <f t="shared" si="4"/>
        <v>164647.61056536998</v>
      </c>
      <c r="AW5" s="3">
        <f t="shared" si="4"/>
        <v>169185.93417514977</v>
      </c>
      <c r="AX5" s="3">
        <f t="shared" si="4"/>
        <v>173849.35149941689</v>
      </c>
      <c r="AY5" s="3">
        <f t="shared" si="4"/>
        <v>178641.31060374572</v>
      </c>
      <c r="AZ5" s="3">
        <f t="shared" si="4"/>
        <v>183565.35459570575</v>
      </c>
      <c r="BA5" s="3">
        <f t="shared" si="4"/>
        <v>188625.12424458587</v>
      </c>
      <c r="BB5" s="3">
        <f t="shared" si="4"/>
        <v>193824.36067332819</v>
      </c>
      <c r="BC5" s="3">
        <f t="shared" si="4"/>
        <v>199166.90812466215</v>
      </c>
      <c r="BD5" s="3">
        <f t="shared" si="4"/>
        <v>204656.71680348369</v>
      </c>
    </row>
    <row r="6" spans="2:70" x14ac:dyDescent="0.2">
      <c r="C6" s="4"/>
      <c r="D6" s="4"/>
      <c r="E6" s="4"/>
      <c r="F6" s="3" t="s">
        <v>9</v>
      </c>
      <c r="G6" s="3">
        <f>G3-G5</f>
        <v>26000</v>
      </c>
      <c r="H6" s="3">
        <f>H3-H5</f>
        <v>27524.39109148534</v>
      </c>
      <c r="I6" s="3">
        <f t="shared" ref="I6:BD6" si="5">I3-I5</f>
        <v>29121.21982357317</v>
      </c>
      <c r="J6" s="3">
        <f t="shared" si="5"/>
        <v>30793.628472062752</v>
      </c>
      <c r="K6" s="3">
        <f t="shared" si="5"/>
        <v>32544.889070423014</v>
      </c>
      <c r="L6" s="3">
        <f t="shared" si="5"/>
        <v>34378.40861125497</v>
      </c>
      <c r="M6" s="3">
        <f t="shared" si="5"/>
        <v>36297.73445231872</v>
      </c>
      <c r="N6" s="3">
        <f t="shared" si="5"/>
        <v>38306.559935068319</v>
      </c>
      <c r="O6" s="3">
        <f t="shared" si="5"/>
        <v>40408.730223943188</v>
      </c>
      <c r="P6" s="3">
        <f t="shared" si="5"/>
        <v>42608.248374982591</v>
      </c>
      <c r="Q6" s="3">
        <f t="shared" si="5"/>
        <v>44909.281642658752</v>
      </c>
      <c r="R6" s="3">
        <f t="shared" si="5"/>
        <v>47316.168034166854</v>
      </c>
      <c r="S6" s="3">
        <f t="shared" si="5"/>
        <v>49833.423120765146</v>
      </c>
      <c r="T6" s="3">
        <f t="shared" si="5"/>
        <v>52465.747116127211</v>
      </c>
      <c r="U6" s="3">
        <f t="shared" si="5"/>
        <v>55218.032232051555</v>
      </c>
      <c r="V6" s="3">
        <f t="shared" si="5"/>
        <v>58095.370322271148</v>
      </c>
      <c r="W6" s="3">
        <f t="shared" si="5"/>
        <v>61103.060825518201</v>
      </c>
      <c r="X6" s="3">
        <f t="shared" si="5"/>
        <v>64246.619019428195</v>
      </c>
      <c r="Y6" s="3">
        <f t="shared" si="5"/>
        <v>67531.784597312086</v>
      </c>
      <c r="Z6" s="3">
        <f t="shared" si="5"/>
        <v>70964.53058028729</v>
      </c>
      <c r="AA6" s="3">
        <f t="shared" si="5"/>
        <v>74551.072577737781</v>
      </c>
      <c r="AB6" s="3">
        <f t="shared" si="5"/>
        <v>78297.878409571509</v>
      </c>
      <c r="AC6" s="3">
        <f t="shared" si="5"/>
        <v>82211.678104259947</v>
      </c>
      <c r="AD6" s="3">
        <f t="shared" si="5"/>
        <v>86299.474287181685</v>
      </c>
      <c r="AE6" s="3">
        <f t="shared" si="5"/>
        <v>90568.552974348437</v>
      </c>
      <c r="AF6" s="3">
        <f t="shared" si="5"/>
        <v>95026.494787170508</v>
      </c>
      <c r="AG6" s="3">
        <f t="shared" si="5"/>
        <v>99681.186604519346</v>
      </c>
      <c r="AH6" s="3">
        <f t="shared" si="5"/>
        <v>104540.83366896755</v>
      </c>
      <c r="AI6" s="3">
        <f t="shared" si="5"/>
        <v>109613.97216473446</v>
      </c>
      <c r="AJ6" s="3">
        <f t="shared" si="5"/>
        <v>114909.48228553667</v>
      </c>
      <c r="AK6" s="3">
        <f t="shared" si="5"/>
        <v>120436.60181124063</v>
      </c>
      <c r="AL6" s="3">
        <f t="shared" si="5"/>
        <v>126204.94021293809</v>
      </c>
      <c r="AM6" s="3">
        <f t="shared" si="5"/>
        <v>132224.49330681696</v>
      </c>
      <c r="AN6" s="3">
        <f t="shared" si="5"/>
        <v>138505.65847798076</v>
      </c>
      <c r="AO6" s="3">
        <f t="shared" si="5"/>
        <v>145059.25049617863</v>
      </c>
      <c r="AP6" s="3">
        <f t="shared" si="5"/>
        <v>151896.51794625071</v>
      </c>
      <c r="AQ6" s="3">
        <f t="shared" si="5"/>
        <v>159029.16029696411</v>
      </c>
      <c r="AR6" s="3">
        <f t="shared" si="5"/>
        <v>21067.709318145702</v>
      </c>
      <c r="AS6" s="3">
        <f t="shared" si="5"/>
        <v>16997.092943022115</v>
      </c>
      <c r="AT6" s="3">
        <f t="shared" si="5"/>
        <v>17465.598425343167</v>
      </c>
      <c r="AU6" s="3">
        <f t="shared" si="5"/>
        <v>17947.017726968566</v>
      </c>
      <c r="AV6" s="3">
        <f t="shared" si="5"/>
        <v>18441.706802599598</v>
      </c>
      <c r="AW6" s="3">
        <f t="shared" si="5"/>
        <v>18950.031418422965</v>
      </c>
      <c r="AX6" s="3">
        <f t="shared" si="5"/>
        <v>19472.367422553158</v>
      </c>
      <c r="AY6" s="3">
        <f t="shared" si="5"/>
        <v>20009.101022929302</v>
      </c>
      <c r="AZ6" s="3">
        <f t="shared" si="5"/>
        <v>20560.629072871932</v>
      </c>
      <c r="BA6" s="3">
        <f t="shared" si="5"/>
        <v>21127.359364510718</v>
      </c>
      <c r="BB6" s="3">
        <f t="shared" si="5"/>
        <v>21709.710930300353</v>
      </c>
      <c r="BC6" s="3">
        <f t="shared" si="5"/>
        <v>22308.114352847188</v>
      </c>
      <c r="BD6" s="3">
        <f t="shared" si="5"/>
        <v>22923.012083276146</v>
      </c>
    </row>
    <row r="7" spans="2:70" x14ac:dyDescent="0.2">
      <c r="C7" s="1" t="s">
        <v>21</v>
      </c>
      <c r="D7" s="2">
        <v>0.18696357999999999</v>
      </c>
      <c r="E7" s="4"/>
    </row>
    <row r="8" spans="2:70" x14ac:dyDescent="0.2">
      <c r="C8" s="1" t="s">
        <v>22</v>
      </c>
      <c r="D8" s="2">
        <v>4.4387999999999997E-2</v>
      </c>
      <c r="E8" s="4"/>
      <c r="G8" s="28" t="s">
        <v>8</v>
      </c>
      <c r="H8" s="32">
        <f>NPV(H20,H6:BD6)</f>
        <v>1016786.6280699467</v>
      </c>
    </row>
    <row r="9" spans="2:70" x14ac:dyDescent="0.2">
      <c r="C9" s="11" t="s">
        <v>23</v>
      </c>
      <c r="D9" s="13">
        <f>D7-D8</f>
        <v>0.14257557999999998</v>
      </c>
      <c r="E9" s="4"/>
      <c r="G9" s="28" t="s">
        <v>19</v>
      </c>
      <c r="H9" s="32">
        <v>60000</v>
      </c>
    </row>
    <row r="10" spans="2:70" x14ac:dyDescent="0.2">
      <c r="C10" s="1" t="s">
        <v>24</v>
      </c>
      <c r="D10" s="2">
        <f>D9/7</f>
        <v>2.0367939999999998E-2</v>
      </c>
      <c r="E10" s="4"/>
      <c r="G10" s="28" t="s">
        <v>12</v>
      </c>
      <c r="H10" s="32">
        <f>100000+H8+400000</f>
        <v>1516786.6280699465</v>
      </c>
    </row>
    <row r="11" spans="2:70" x14ac:dyDescent="0.2">
      <c r="C11" s="4"/>
      <c r="D11" s="5"/>
      <c r="E11" s="4"/>
      <c r="G11" s="28" t="s">
        <v>15</v>
      </c>
      <c r="H11" s="28">
        <v>2</v>
      </c>
    </row>
    <row r="12" spans="2:70" x14ac:dyDescent="0.2">
      <c r="C12" s="14" t="s">
        <v>25</v>
      </c>
      <c r="D12" s="4"/>
      <c r="E12" s="4"/>
      <c r="G12" s="3"/>
      <c r="H12" s="3"/>
    </row>
    <row r="13" spans="2:70" x14ac:dyDescent="0.2">
      <c r="C13" s="21" t="s">
        <v>38</v>
      </c>
      <c r="D13" s="21"/>
      <c r="E13" s="4"/>
    </row>
    <row r="14" spans="2:70" x14ac:dyDescent="0.2">
      <c r="C14" s="1" t="s">
        <v>26</v>
      </c>
      <c r="D14" s="15" cm="1">
        <f t="array" ref="D14">AVERAGE((G3:AQ3+G4:AQ4))</f>
        <v>228036.73902507892</v>
      </c>
      <c r="E14" s="4"/>
    </row>
    <row r="15" spans="2:70" x14ac:dyDescent="0.2">
      <c r="C15" s="1" t="s">
        <v>27</v>
      </c>
      <c r="D15" s="15">
        <v>37</v>
      </c>
      <c r="E15" s="4"/>
    </row>
    <row r="16" spans="2:70" x14ac:dyDescent="0.2">
      <c r="D16" s="4"/>
      <c r="E16" s="4"/>
      <c r="I16" t="s">
        <v>66</v>
      </c>
      <c r="J16" t="s">
        <v>67</v>
      </c>
      <c r="K16" t="s">
        <v>68</v>
      </c>
      <c r="L16" t="s">
        <v>71</v>
      </c>
    </row>
    <row r="17" spans="3:19" ht="16" x14ac:dyDescent="0.2">
      <c r="C17" s="1" t="s">
        <v>28</v>
      </c>
      <c r="D17" s="15">
        <f>2%*D14*D15</f>
        <v>168747.18687855842</v>
      </c>
      <c r="G17" s="1" t="s">
        <v>6</v>
      </c>
      <c r="H17" s="1">
        <v>3.9170000000000003E-2</v>
      </c>
      <c r="I17" s="34">
        <v>1.6000000000000001E-3</v>
      </c>
      <c r="J17" s="48">
        <v>9.8657999999999992E-4</v>
      </c>
      <c r="K17" s="47">
        <f>J17^2</f>
        <v>9.7334009639999991E-7</v>
      </c>
      <c r="L17">
        <v>0</v>
      </c>
    </row>
    <row r="18" spans="3:19" x14ac:dyDescent="0.2">
      <c r="G18" s="1" t="s">
        <v>4</v>
      </c>
      <c r="H18" s="1">
        <f>C4</f>
        <v>1.1370788548970025E-2</v>
      </c>
    </row>
    <row r="19" spans="3:19" x14ac:dyDescent="0.2">
      <c r="C19" s="29" t="s">
        <v>29</v>
      </c>
      <c r="D19" s="29">
        <v>0.5</v>
      </c>
    </row>
    <row r="20" spans="3:19" x14ac:dyDescent="0.2">
      <c r="G20" s="1" t="s">
        <v>7</v>
      </c>
      <c r="H20" s="1">
        <f>H17+H18</f>
        <v>5.0540788548970025E-2</v>
      </c>
    </row>
    <row r="21" spans="3:19" x14ac:dyDescent="0.2">
      <c r="C21" s="29" t="s">
        <v>34</v>
      </c>
      <c r="D21" s="29">
        <f>computations!G2</f>
        <v>1.4116246673421287E-4</v>
      </c>
    </row>
    <row r="24" spans="3:19" x14ac:dyDescent="0.2">
      <c r="G24" s="35" t="s">
        <v>56</v>
      </c>
      <c r="H24" s="35"/>
      <c r="L24" s="39" t="s">
        <v>64</v>
      </c>
      <c r="M24" s="39"/>
      <c r="N24" s="39"/>
      <c r="P24" s="44" t="s">
        <v>58</v>
      </c>
      <c r="Q24" s="44" t="s">
        <v>60</v>
      </c>
      <c r="R24" s="44" t="s">
        <v>61</v>
      </c>
      <c r="S24" s="44" t="s">
        <v>59</v>
      </c>
    </row>
    <row r="25" spans="3:19" x14ac:dyDescent="0.2">
      <c r="G25" s="36" t="s">
        <v>57</v>
      </c>
      <c r="H25" s="36" t="s">
        <v>54</v>
      </c>
      <c r="L25" s="40" t="s">
        <v>50</v>
      </c>
      <c r="M25" s="40">
        <f>P25*Q25/R25+S25</f>
        <v>7.1924931151746101</v>
      </c>
      <c r="N25" s="40"/>
      <c r="P25" s="44">
        <f>(1/D19)</f>
        <v>2</v>
      </c>
      <c r="Q25" s="44">
        <f>G26 + H26/2</f>
        <v>1.7453405000000002E-2</v>
      </c>
      <c r="R25" s="46">
        <f>(H26*H11)</f>
        <v>4.2136200000000004E-3</v>
      </c>
      <c r="S25" s="45">
        <f>(1-1/D19)*(D21/C5)</f>
        <v>-1.0917873847280861</v>
      </c>
    </row>
    <row r="26" spans="3:19" ht="16" x14ac:dyDescent="0.2">
      <c r="G26" s="34">
        <v>1.6400000000000001E-2</v>
      </c>
      <c r="H26" s="34">
        <f>0.0459^2</f>
        <v>2.1068100000000002E-3</v>
      </c>
      <c r="L26" s="41" t="s">
        <v>65</v>
      </c>
      <c r="M26" s="41"/>
      <c r="N26" s="41"/>
    </row>
    <row r="27" spans="3:19" x14ac:dyDescent="0.2">
      <c r="L27" s="42" t="s">
        <v>51</v>
      </c>
      <c r="M27" s="42">
        <v>-3.3106599999999999</v>
      </c>
      <c r="N27" s="42"/>
    </row>
    <row r="28" spans="3:19" x14ac:dyDescent="0.2">
      <c r="G28" s="36" t="s">
        <v>62</v>
      </c>
    </row>
    <row r="29" spans="3:19" ht="16" x14ac:dyDescent="0.2">
      <c r="G29" s="34">
        <v>0.35649999999999998</v>
      </c>
      <c r="L29" s="49" t="s">
        <v>53</v>
      </c>
      <c r="M29" s="49"/>
      <c r="N29" s="49"/>
    </row>
    <row r="30" spans="3:19" x14ac:dyDescent="0.2">
      <c r="L30" s="50" t="s">
        <v>69</v>
      </c>
      <c r="M30" s="50"/>
      <c r="N30" s="51">
        <f>M25*G26+M27*I17</f>
        <v>0.11265983108886363</v>
      </c>
    </row>
    <row r="31" spans="3:19" x14ac:dyDescent="0.2">
      <c r="L31" s="50" t="s">
        <v>67</v>
      </c>
      <c r="M31" s="50"/>
      <c r="N31" s="51">
        <f>SQRT(K17*(M27)^2 + H26 * (M25)^2)</f>
        <v>0.3301515909972812</v>
      </c>
    </row>
    <row r="32" spans="3:19" x14ac:dyDescent="0.2">
      <c r="L32" s="50" t="s">
        <v>70</v>
      </c>
      <c r="M32" s="50"/>
      <c r="N32" s="51">
        <f>N30/N31</f>
        <v>0.34123667479097924</v>
      </c>
    </row>
  </sheetData>
  <mergeCells count="5">
    <mergeCell ref="L29:N29"/>
    <mergeCell ref="C13:D13"/>
    <mergeCell ref="G24:H24"/>
    <mergeCell ref="L24:N24"/>
    <mergeCell ref="L26:N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36FD-FD1E-40FD-8F51-99D89DAF613D}">
  <dimension ref="A1:Z2367"/>
  <sheetViews>
    <sheetView workbookViewId="0">
      <selection activeCell="P4" sqref="P4"/>
    </sheetView>
  </sheetViews>
  <sheetFormatPr baseColWidth="10" defaultColWidth="8.83203125" defaultRowHeight="15" x14ac:dyDescent="0.2"/>
  <cols>
    <col min="1" max="1" width="10.33203125" bestFit="1" customWidth="1"/>
    <col min="2" max="2" width="9.5" bestFit="1" customWidth="1"/>
    <col min="5" max="5" width="8.83203125" style="20"/>
    <col min="11" max="11" width="24.1640625" bestFit="1" customWidth="1"/>
  </cols>
  <sheetData>
    <row r="1" spans="1:26" ht="16" thickBot="1" x14ac:dyDescent="0.25">
      <c r="A1" t="s">
        <v>1</v>
      </c>
      <c r="B1" t="s">
        <v>30</v>
      </c>
      <c r="C1" t="s">
        <v>31</v>
      </c>
      <c r="E1" s="20" t="s">
        <v>32</v>
      </c>
      <c r="G1" s="24" t="s">
        <v>33</v>
      </c>
      <c r="K1" s="26" t="s">
        <v>47</v>
      </c>
      <c r="L1">
        <f>AVERAGE(K2:K65)</f>
        <v>2.7563859531249991E-2</v>
      </c>
      <c r="S1" s="25" t="s">
        <v>46</v>
      </c>
    </row>
    <row r="2" spans="1:26" ht="17" thickBot="1" x14ac:dyDescent="0.25">
      <c r="A2" s="16">
        <v>35431</v>
      </c>
      <c r="B2" s="18">
        <v>8577.5524999999998</v>
      </c>
      <c r="E2" s="20">
        <f>4.71666666666667*(1/100)</f>
        <v>4.7166666666666704E-2</v>
      </c>
      <c r="G2" s="24">
        <f>_xlfn.COVARIANCE.S(C3:C28,E3:E28)</f>
        <v>1.4116246673421287E-4</v>
      </c>
      <c r="K2" s="7">
        <v>1.4579760000000001E-2</v>
      </c>
      <c r="S2" s="22" t="s">
        <v>39</v>
      </c>
      <c r="T2" s="22" t="s">
        <v>40</v>
      </c>
      <c r="U2" s="22" t="s">
        <v>41</v>
      </c>
      <c r="V2" s="22" t="s">
        <v>42</v>
      </c>
      <c r="W2" s="22" t="s">
        <v>43</v>
      </c>
      <c r="X2" s="22" t="s">
        <v>44</v>
      </c>
      <c r="Y2" s="22" t="s">
        <v>43</v>
      </c>
      <c r="Z2" s="22" t="s">
        <v>45</v>
      </c>
    </row>
    <row r="3" spans="1:26" ht="17" thickBot="1" x14ac:dyDescent="0.25">
      <c r="A3" s="16">
        <v>35796</v>
      </c>
      <c r="B3" s="18">
        <v>9062.81675</v>
      </c>
      <c r="C3">
        <f t="shared" ref="C3:C17" si="0">(B3-B2)/B2</f>
        <v>5.6573742917924455E-2</v>
      </c>
      <c r="E3" s="20">
        <f>5.04166666666667*(1/100)</f>
        <v>5.04166666666667E-2</v>
      </c>
      <c r="K3" s="7">
        <v>1.070724E-2</v>
      </c>
      <c r="S3" s="23">
        <v>42139</v>
      </c>
      <c r="T3" s="22">
        <v>24.9400005</v>
      </c>
      <c r="U3" s="22">
        <v>25.5</v>
      </c>
      <c r="V3" s="22">
        <v>24.469999300000001</v>
      </c>
      <c r="W3" s="22">
        <v>24.5</v>
      </c>
      <c r="X3" s="22">
        <v>14.7856817</v>
      </c>
      <c r="Y3" s="22">
        <v>526100</v>
      </c>
      <c r="Z3" s="22" t="e">
        <v>#VALUE!</v>
      </c>
    </row>
    <row r="4" spans="1:26" ht="17" thickBot="1" x14ac:dyDescent="0.25">
      <c r="A4" s="16">
        <v>36161</v>
      </c>
      <c r="B4" s="18">
        <v>9631.1717499999995</v>
      </c>
      <c r="C4">
        <f t="shared" si="0"/>
        <v>6.2712842560785478E-2</v>
      </c>
      <c r="E4" s="20">
        <f>5.04166666666667*(1/100)</f>
        <v>5.04166666666667E-2</v>
      </c>
      <c r="K4" s="7">
        <v>1.198773E-2</v>
      </c>
      <c r="S4" s="23">
        <v>42142</v>
      </c>
      <c r="T4" s="22">
        <v>24.409999800000001</v>
      </c>
      <c r="U4" s="22">
        <v>24.9899998</v>
      </c>
      <c r="V4" s="22">
        <v>23.200000800000002</v>
      </c>
      <c r="W4" s="22">
        <v>23.75</v>
      </c>
      <c r="X4" s="22">
        <v>14.333062200000001</v>
      </c>
      <c r="Y4" s="22">
        <v>777500</v>
      </c>
      <c r="Z4" s="22">
        <v>-3.0612E-2</v>
      </c>
    </row>
    <row r="5" spans="1:26" ht="17" thickBot="1" x14ac:dyDescent="0.25">
      <c r="A5" s="16">
        <v>36526</v>
      </c>
      <c r="B5" s="18">
        <v>10250.951999999999</v>
      </c>
      <c r="C5">
        <f t="shared" si="0"/>
        <v>6.435148973436175E-2</v>
      </c>
      <c r="E5" s="20">
        <f>5.10833333333333*(1/100)</f>
        <v>5.10833333333333E-2</v>
      </c>
      <c r="K5" s="7">
        <v>1.239669E-2</v>
      </c>
      <c r="S5" s="23">
        <v>42143</v>
      </c>
      <c r="T5" s="22">
        <v>23.670000099999999</v>
      </c>
      <c r="U5" s="22">
        <v>24.020000499999998</v>
      </c>
      <c r="V5" s="22">
        <v>23.450000800000002</v>
      </c>
      <c r="W5" s="22">
        <v>23.5699997</v>
      </c>
      <c r="X5" s="22">
        <v>14.2244282</v>
      </c>
      <c r="Y5" s="22">
        <v>1173000</v>
      </c>
      <c r="Z5" s="22">
        <v>-7.5792999999999998E-3</v>
      </c>
    </row>
    <row r="6" spans="1:26" ht="17" thickBot="1" x14ac:dyDescent="0.25">
      <c r="A6" s="16">
        <v>36892</v>
      </c>
      <c r="B6" s="18">
        <v>10581.929</v>
      </c>
      <c r="C6">
        <f t="shared" si="0"/>
        <v>3.228744022994165E-2</v>
      </c>
      <c r="E6" s="20">
        <f>5.11666666666667*(1/100)</f>
        <v>5.1166666666666701E-2</v>
      </c>
      <c r="K6" s="7">
        <v>1.2789119999999999E-2</v>
      </c>
      <c r="S6" s="23">
        <v>42144</v>
      </c>
      <c r="T6" s="22">
        <v>23.520000499999998</v>
      </c>
      <c r="U6" s="22">
        <v>23.950000800000002</v>
      </c>
      <c r="V6" s="22">
        <v>23.200000800000002</v>
      </c>
      <c r="W6" s="22">
        <v>23.5</v>
      </c>
      <c r="X6" s="22">
        <v>14.182185199999999</v>
      </c>
      <c r="Y6" s="22">
        <v>354600</v>
      </c>
      <c r="Z6" s="22">
        <v>-2.9697999999999999E-3</v>
      </c>
    </row>
    <row r="7" spans="1:26" ht="17" thickBot="1" x14ac:dyDescent="0.25">
      <c r="A7" s="16">
        <v>37257</v>
      </c>
      <c r="B7" s="18">
        <v>10929.108249999999</v>
      </c>
      <c r="C7">
        <f t="shared" si="0"/>
        <v>3.2808692063611394E-2</v>
      </c>
      <c r="E7" s="20">
        <f>4.05833333333333*(1/100)</f>
        <v>4.0583333333333298E-2</v>
      </c>
      <c r="K7" s="7">
        <v>1.5851690000000002E-2</v>
      </c>
      <c r="S7" s="23">
        <v>42145</v>
      </c>
      <c r="T7" s="22">
        <v>23.420000099999999</v>
      </c>
      <c r="U7" s="22">
        <v>23.6900005</v>
      </c>
      <c r="V7" s="22">
        <v>23.0699997</v>
      </c>
      <c r="W7" s="22">
        <v>23.530000699999999</v>
      </c>
      <c r="X7" s="22">
        <v>14.2002907</v>
      </c>
      <c r="Y7" s="22">
        <v>539600</v>
      </c>
      <c r="Z7" s="22">
        <v>1.2766399999999999E-3</v>
      </c>
    </row>
    <row r="8" spans="1:26" ht="17" thickBot="1" x14ac:dyDescent="0.25">
      <c r="A8" s="16">
        <v>37622</v>
      </c>
      <c r="B8" s="18">
        <v>11456.449500000001</v>
      </c>
      <c r="C8">
        <f t="shared" si="0"/>
        <v>4.8251077575336608E-2</v>
      </c>
      <c r="E8" s="20">
        <f>3.54166666666667*(1/100)</f>
        <v>3.54166666666667E-2</v>
      </c>
      <c r="K8" s="7">
        <v>3.0150799999999998E-3</v>
      </c>
      <c r="S8" s="23">
        <v>42146</v>
      </c>
      <c r="T8" s="22">
        <v>23.420000099999999</v>
      </c>
      <c r="U8" s="22">
        <v>23.719999300000001</v>
      </c>
      <c r="V8" s="22">
        <v>23.079999900000001</v>
      </c>
      <c r="W8" s="22">
        <v>23.5599995</v>
      </c>
      <c r="X8" s="22">
        <v>14.218396200000001</v>
      </c>
      <c r="Y8" s="22">
        <v>736400</v>
      </c>
      <c r="Z8" s="22">
        <v>1.27501E-3</v>
      </c>
    </row>
    <row r="9" spans="1:26" ht="17" thickBot="1" x14ac:dyDescent="0.25">
      <c r="A9" s="16">
        <v>37987</v>
      </c>
      <c r="B9" s="18">
        <v>12217.195750000001</v>
      </c>
      <c r="C9">
        <f t="shared" si="0"/>
        <v>6.6403317188278979E-2</v>
      </c>
      <c r="E9" s="20">
        <f>3.48333333333333*(1/100)</f>
        <v>3.48333333333333E-2</v>
      </c>
      <c r="K9" s="7">
        <v>2.772786E-2</v>
      </c>
      <c r="S9" s="23">
        <v>42150</v>
      </c>
      <c r="T9" s="22">
        <v>23.659999800000001</v>
      </c>
      <c r="U9" s="22">
        <v>25.159999800000001</v>
      </c>
      <c r="V9" s="22">
        <v>23.639999400000001</v>
      </c>
      <c r="W9" s="22">
        <v>24.899999600000001</v>
      </c>
      <c r="X9" s="22">
        <v>15.0270777</v>
      </c>
      <c r="Y9" s="22">
        <v>1401100</v>
      </c>
      <c r="Z9" s="22">
        <v>5.6875719999999998E-2</v>
      </c>
    </row>
    <row r="10" spans="1:26" ht="17" thickBot="1" x14ac:dyDescent="0.25">
      <c r="A10" s="16">
        <v>38353</v>
      </c>
      <c r="B10" s="18">
        <v>13039.197</v>
      </c>
      <c r="C10">
        <f t="shared" si="0"/>
        <v>6.7282318039309411E-2</v>
      </c>
      <c r="E10" s="20">
        <f>3.89166666666667*(1/100)</f>
        <v>3.8916666666666704E-2</v>
      </c>
      <c r="K10" s="7">
        <v>4.2717959999999999E-2</v>
      </c>
      <c r="S10" s="23">
        <v>42151</v>
      </c>
      <c r="T10" s="22">
        <v>24.5699997</v>
      </c>
      <c r="U10" s="22">
        <v>26.149999600000001</v>
      </c>
      <c r="V10" s="22">
        <v>24.4400005</v>
      </c>
      <c r="W10" s="22">
        <v>26.0100002</v>
      </c>
      <c r="X10" s="22">
        <v>15.6969595</v>
      </c>
      <c r="Y10" s="22">
        <v>1482900</v>
      </c>
      <c r="Z10" s="22">
        <v>4.4578319999999998E-2</v>
      </c>
    </row>
    <row r="11" spans="1:26" ht="17" thickBot="1" x14ac:dyDescent="0.25">
      <c r="A11" s="16">
        <v>38718</v>
      </c>
      <c r="B11" s="18">
        <v>13815.583000000001</v>
      </c>
      <c r="C11">
        <f t="shared" si="0"/>
        <v>5.954247029169054E-2</v>
      </c>
      <c r="E11" s="20">
        <f>3.85833333333333*(1/100)</f>
        <v>3.8583333333333296E-2</v>
      </c>
      <c r="K11" s="7">
        <v>5.4623860000000003E-2</v>
      </c>
      <c r="S11" s="23">
        <v>42152</v>
      </c>
      <c r="T11" s="22">
        <v>26.920000099999999</v>
      </c>
      <c r="U11" s="22">
        <v>27.8700008</v>
      </c>
      <c r="V11" s="22">
        <v>26.2600002</v>
      </c>
      <c r="W11" s="22">
        <v>26.729999500000002</v>
      </c>
      <c r="X11" s="22">
        <v>16.2564812</v>
      </c>
      <c r="Y11" s="22">
        <v>1510600</v>
      </c>
      <c r="Z11" s="22">
        <v>3.564523E-2</v>
      </c>
    </row>
    <row r="12" spans="1:26" ht="17" thickBot="1" x14ac:dyDescent="0.25">
      <c r="A12" s="16">
        <v>39083</v>
      </c>
      <c r="B12" s="18">
        <v>14474.227000000001</v>
      </c>
      <c r="C12">
        <f t="shared" si="0"/>
        <v>4.7673992476466628E-2</v>
      </c>
      <c r="E12" s="20">
        <f>4.175*(1/100)</f>
        <v>4.1750000000000002E-2</v>
      </c>
      <c r="K12" s="7">
        <v>5.8382549999999998E-2</v>
      </c>
      <c r="S12" s="23">
        <v>42153</v>
      </c>
      <c r="T12" s="22">
        <v>26.9300003</v>
      </c>
      <c r="U12" s="22">
        <v>27.3199997</v>
      </c>
      <c r="V12" s="22">
        <v>26.729999500000002</v>
      </c>
      <c r="W12" s="22">
        <v>27.0699997</v>
      </c>
      <c r="X12" s="22">
        <v>16.4632626</v>
      </c>
      <c r="Y12" s="22">
        <v>1081400</v>
      </c>
      <c r="Z12" s="22">
        <v>1.2719940000000001E-2</v>
      </c>
    </row>
    <row r="13" spans="1:26" ht="17" thickBot="1" x14ac:dyDescent="0.25">
      <c r="A13" s="16">
        <v>39448</v>
      </c>
      <c r="B13" s="18">
        <v>14769.86175</v>
      </c>
      <c r="C13">
        <f t="shared" si="0"/>
        <v>2.0424907665189944E-2</v>
      </c>
      <c r="E13" s="20">
        <f>3.96666666666667*(1/100)</f>
        <v>3.9666666666666697E-2</v>
      </c>
      <c r="K13" s="7">
        <v>4.2927670000000001E-2</v>
      </c>
      <c r="S13" s="23">
        <v>42156</v>
      </c>
      <c r="T13" s="22">
        <v>27.1900005</v>
      </c>
      <c r="U13" s="22">
        <v>27.780000699999999</v>
      </c>
      <c r="V13" s="22">
        <v>27.0599995</v>
      </c>
      <c r="W13" s="22">
        <v>27.110000599999999</v>
      </c>
      <c r="X13" s="22">
        <v>16.487588899999999</v>
      </c>
      <c r="Y13" s="22">
        <v>1047300</v>
      </c>
      <c r="Z13" s="22">
        <v>1.4776100000000001E-3</v>
      </c>
    </row>
    <row r="14" spans="1:26" ht="17" thickBot="1" x14ac:dyDescent="0.25">
      <c r="A14" s="16">
        <v>39814</v>
      </c>
      <c r="B14" s="18">
        <v>14478.06725</v>
      </c>
      <c r="C14">
        <f t="shared" si="0"/>
        <v>-1.9756075238822054E-2</v>
      </c>
      <c r="E14" s="20">
        <f>2.6*(1/100)</f>
        <v>2.6000000000000002E-2</v>
      </c>
      <c r="K14" s="7">
        <v>3.272278E-2</v>
      </c>
      <c r="S14" s="23">
        <v>42157</v>
      </c>
      <c r="T14" s="22">
        <v>27.219999300000001</v>
      </c>
      <c r="U14" s="22">
        <v>28.110000599999999</v>
      </c>
      <c r="V14" s="22">
        <v>26.389999400000001</v>
      </c>
      <c r="W14" s="22">
        <v>27.0699997</v>
      </c>
      <c r="X14" s="22">
        <v>16.4632626</v>
      </c>
      <c r="Y14" s="22">
        <v>714900</v>
      </c>
      <c r="Z14" s="22">
        <v>-1.4754E-3</v>
      </c>
    </row>
    <row r="15" spans="1:26" ht="17" thickBot="1" x14ac:dyDescent="0.25">
      <c r="A15" s="16">
        <v>40179</v>
      </c>
      <c r="B15" s="18">
        <v>15048.971</v>
      </c>
      <c r="C15">
        <f t="shared" si="0"/>
        <v>3.9432317873782465E-2</v>
      </c>
      <c r="E15" s="20">
        <f>1.8*(1/100)</f>
        <v>1.8000000000000002E-2</v>
      </c>
      <c r="K15" s="7">
        <v>6.1777600000000002E-2</v>
      </c>
      <c r="S15" s="23">
        <v>42158</v>
      </c>
      <c r="T15" s="22">
        <v>27.290000899999999</v>
      </c>
      <c r="U15" s="22">
        <v>27.3700008</v>
      </c>
      <c r="V15" s="22">
        <v>26.5599995</v>
      </c>
      <c r="W15" s="22">
        <v>27.0100002</v>
      </c>
      <c r="X15" s="22">
        <v>16.426773099999998</v>
      </c>
      <c r="Y15" s="22">
        <v>706000</v>
      </c>
      <c r="Z15" s="22">
        <v>-2.2163999999999999E-3</v>
      </c>
    </row>
    <row r="16" spans="1:26" ht="17" thickBot="1" x14ac:dyDescent="0.25">
      <c r="A16" s="16">
        <v>40544</v>
      </c>
      <c r="B16" s="18">
        <v>15599.7315</v>
      </c>
      <c r="C16">
        <f t="shared" si="0"/>
        <v>3.6597884333752807E-2</v>
      </c>
      <c r="E16" s="20">
        <f>2.01666666666667*(1/100)</f>
        <v>2.0166666666666701E-2</v>
      </c>
      <c r="K16" s="7">
        <v>1.10548E-2</v>
      </c>
      <c r="S16" s="23">
        <v>42159</v>
      </c>
      <c r="T16" s="22">
        <v>27.0100002</v>
      </c>
      <c r="U16" s="22">
        <v>27.0599995</v>
      </c>
      <c r="V16" s="22">
        <v>25.920000099999999</v>
      </c>
      <c r="W16" s="22">
        <v>26.2399998</v>
      </c>
      <c r="X16" s="22">
        <v>15.9584761</v>
      </c>
      <c r="Y16" s="22">
        <v>605200</v>
      </c>
      <c r="Z16" s="22">
        <v>-2.8508200000000001E-2</v>
      </c>
    </row>
    <row r="17" spans="1:26" ht="17" thickBot="1" x14ac:dyDescent="0.25">
      <c r="A17" s="16">
        <v>40909</v>
      </c>
      <c r="B17" s="18">
        <v>16253.97</v>
      </c>
      <c r="C17">
        <f t="shared" si="0"/>
        <v>4.1939087220828092E-2</v>
      </c>
      <c r="E17" s="20">
        <f>2.19166666666667*(1/100)</f>
        <v>2.1916666666666699E-2</v>
      </c>
      <c r="K17" s="7">
        <v>9.1431470000000001E-2</v>
      </c>
      <c r="S17" s="23">
        <v>42160</v>
      </c>
      <c r="T17" s="22">
        <v>26.200000800000002</v>
      </c>
      <c r="U17" s="22">
        <v>26.729999500000002</v>
      </c>
      <c r="V17" s="22">
        <v>26</v>
      </c>
      <c r="W17" s="22">
        <v>26.590000199999999</v>
      </c>
      <c r="X17" s="22">
        <v>16.171340900000001</v>
      </c>
      <c r="Y17" s="22">
        <v>349100</v>
      </c>
      <c r="Z17" s="22">
        <v>1.333867E-2</v>
      </c>
    </row>
    <row r="18" spans="1:26" ht="17" thickBot="1" x14ac:dyDescent="0.25">
      <c r="A18" s="16">
        <v>41275</v>
      </c>
      <c r="B18" s="18">
        <v>16880.683249999998</v>
      </c>
      <c r="C18">
        <f t="shared" ref="C18:C28" si="1">(B18-B17)/B17</f>
        <v>3.8557549324872563E-2</v>
      </c>
      <c r="E18" s="20">
        <f>2.21666666666667*(1/100)</f>
        <v>2.2166666666666699E-2</v>
      </c>
      <c r="K18" s="7">
        <v>5.744813E-2</v>
      </c>
      <c r="S18" s="23">
        <v>42163</v>
      </c>
      <c r="T18" s="22">
        <v>26.6900005</v>
      </c>
      <c r="U18" s="22">
        <v>26.8199997</v>
      </c>
      <c r="V18" s="22">
        <v>26.4300003</v>
      </c>
      <c r="W18" s="22">
        <v>26.600000399999999</v>
      </c>
      <c r="X18" s="22">
        <v>16.177425400000001</v>
      </c>
      <c r="Y18" s="22">
        <v>331300</v>
      </c>
      <c r="Z18" s="22">
        <v>3.7625000000000001E-4</v>
      </c>
    </row>
    <row r="19" spans="1:26" ht="17" thickBot="1" x14ac:dyDescent="0.25">
      <c r="A19" s="16">
        <v>41640</v>
      </c>
      <c r="B19" s="18">
        <v>17608.13825</v>
      </c>
      <c r="C19">
        <f t="shared" si="1"/>
        <v>4.3093931046896565E-2</v>
      </c>
      <c r="E19" s="20">
        <f>2.55*(1/100)</f>
        <v>2.5499999999999998E-2</v>
      </c>
      <c r="K19" s="7">
        <v>6.5016800000000001E-3</v>
      </c>
      <c r="S19" s="23">
        <v>42164</v>
      </c>
      <c r="T19" s="22">
        <v>26.6800003</v>
      </c>
      <c r="U19" s="22">
        <v>26.790000899999999</v>
      </c>
      <c r="V19" s="22">
        <v>25.700000800000002</v>
      </c>
      <c r="W19" s="22">
        <v>26.2399998</v>
      </c>
      <c r="X19" s="22">
        <v>15.9584761</v>
      </c>
      <c r="Y19" s="22">
        <v>581600</v>
      </c>
      <c r="Z19" s="22">
        <v>-1.35342E-2</v>
      </c>
    </row>
    <row r="20" spans="1:26" ht="17" thickBot="1" x14ac:dyDescent="0.25">
      <c r="A20" s="16">
        <v>42005</v>
      </c>
      <c r="B20" s="18">
        <v>18295.019</v>
      </c>
      <c r="C20">
        <f t="shared" si="1"/>
        <v>3.9009277428861636E-2</v>
      </c>
      <c r="E20" s="20">
        <f>3.13333333333333*(1/100)</f>
        <v>3.1333333333333303E-2</v>
      </c>
      <c r="K20" s="7">
        <v>7.6309639999999998E-2</v>
      </c>
      <c r="S20" s="23">
        <v>42165</v>
      </c>
      <c r="T20" s="22">
        <v>26.2600002</v>
      </c>
      <c r="U20" s="22">
        <v>26.9400005</v>
      </c>
      <c r="V20" s="22">
        <v>26.0699997</v>
      </c>
      <c r="W20" s="22">
        <v>26.219999300000001</v>
      </c>
      <c r="X20" s="22">
        <v>15.946312900000001</v>
      </c>
      <c r="Y20" s="22">
        <v>482700</v>
      </c>
      <c r="Z20" s="22">
        <v>-7.6219999999999999E-4</v>
      </c>
    </row>
    <row r="21" spans="1:26" ht="17" thickBot="1" x14ac:dyDescent="0.25">
      <c r="A21" s="16">
        <v>42370</v>
      </c>
      <c r="B21" s="18">
        <v>18804.913250000001</v>
      </c>
      <c r="C21">
        <f t="shared" si="1"/>
        <v>2.7870659768104159E-2</v>
      </c>
      <c r="E21" s="20">
        <f>3.48333333333333*(1/100)</f>
        <v>3.48333333333333E-2</v>
      </c>
      <c r="K21" s="7">
        <v>1.1254470000000001E-2</v>
      </c>
      <c r="S21" s="23">
        <v>42166</v>
      </c>
      <c r="T21" s="22">
        <v>26.030000699999999</v>
      </c>
      <c r="U21" s="22">
        <v>26.459999100000001</v>
      </c>
      <c r="V21" s="22">
        <v>25.530000699999999</v>
      </c>
      <c r="W21" s="22">
        <v>26.0100002</v>
      </c>
      <c r="X21" s="22">
        <v>15.818593999999999</v>
      </c>
      <c r="Y21" s="22">
        <v>428900</v>
      </c>
      <c r="Z21" s="22">
        <v>-8.0093000000000004E-3</v>
      </c>
    </row>
    <row r="22" spans="1:26" ht="17" thickBot="1" x14ac:dyDescent="0.25">
      <c r="A22" s="16">
        <v>42736</v>
      </c>
      <c r="B22" s="18">
        <v>19612.102500000001</v>
      </c>
      <c r="C22">
        <f t="shared" si="1"/>
        <v>4.2924380414251548E-2</v>
      </c>
      <c r="E22" s="20">
        <f>3.28333333333333*(1/100)</f>
        <v>3.2833333333333305E-2</v>
      </c>
      <c r="K22" s="7">
        <v>1.3549200000000001E-2</v>
      </c>
      <c r="S22" s="23">
        <v>42167</v>
      </c>
      <c r="T22" s="22">
        <v>25.8799992</v>
      </c>
      <c r="U22" s="22">
        <v>26</v>
      </c>
      <c r="V22" s="22">
        <v>25.340000199999999</v>
      </c>
      <c r="W22" s="22">
        <v>25.459999100000001</v>
      </c>
      <c r="X22" s="22">
        <v>15.484108000000001</v>
      </c>
      <c r="Y22" s="22">
        <v>458600</v>
      </c>
      <c r="Z22" s="22">
        <v>-2.11451E-2</v>
      </c>
    </row>
    <row r="23" spans="1:26" ht="17" thickBot="1" x14ac:dyDescent="0.25">
      <c r="A23" s="16">
        <v>43101</v>
      </c>
      <c r="B23" s="18">
        <v>20656.515500000001</v>
      </c>
      <c r="C23">
        <f t="shared" si="1"/>
        <v>5.3253494876441751E-2</v>
      </c>
      <c r="E23" s="20">
        <f>3.45833333333333*(1/100)</f>
        <v>3.4583333333333299E-2</v>
      </c>
      <c r="K23" s="7">
        <v>1.033472E-2</v>
      </c>
      <c r="S23" s="23">
        <v>42170</v>
      </c>
      <c r="T23" s="22">
        <v>25.600000399999999</v>
      </c>
      <c r="U23" s="22">
        <v>25.729999500000002</v>
      </c>
      <c r="V23" s="22">
        <v>24.9300003</v>
      </c>
      <c r="W23" s="22">
        <v>24.9400005</v>
      </c>
      <c r="X23" s="22">
        <v>15.1678505</v>
      </c>
      <c r="Y23" s="22">
        <v>319000</v>
      </c>
      <c r="Z23" s="22">
        <v>-2.0424600000000001E-2</v>
      </c>
    </row>
    <row r="24" spans="1:26" ht="17" thickBot="1" x14ac:dyDescent="0.25">
      <c r="A24" s="16">
        <v>43466</v>
      </c>
      <c r="B24" s="18">
        <v>21539.981500000002</v>
      </c>
      <c r="C24">
        <f t="shared" si="1"/>
        <v>4.2769362528738225E-2</v>
      </c>
      <c r="E24" s="20">
        <f>3.65*(1/100)</f>
        <v>3.6499999999999998E-2</v>
      </c>
      <c r="K24" s="7">
        <v>6.1314269999999997E-2</v>
      </c>
      <c r="S24" s="23">
        <v>42171</v>
      </c>
      <c r="T24" s="22">
        <v>25.049999199999998</v>
      </c>
      <c r="U24" s="22">
        <v>25.2399998</v>
      </c>
      <c r="V24" s="22">
        <v>24.8199997</v>
      </c>
      <c r="W24" s="22">
        <v>24.8700008</v>
      </c>
      <c r="X24" s="22">
        <v>15.125280399999999</v>
      </c>
      <c r="Y24" s="22">
        <v>474800</v>
      </c>
      <c r="Z24" s="22">
        <v>-2.8065999999999998E-3</v>
      </c>
    </row>
    <row r="25" spans="1:26" ht="17" thickBot="1" x14ac:dyDescent="0.25">
      <c r="A25" s="16">
        <v>43831</v>
      </c>
      <c r="B25" s="18">
        <v>21354.104749999999</v>
      </c>
      <c r="C25">
        <f t="shared" si="1"/>
        <v>-8.629382991810047E-3</v>
      </c>
      <c r="E25" s="20">
        <f>3.54166666666667*(1/100)</f>
        <v>3.54166666666667E-2</v>
      </c>
      <c r="K25" s="7">
        <v>3.2124350000000003E-2</v>
      </c>
      <c r="S25" s="23">
        <v>42172</v>
      </c>
      <c r="T25" s="22">
        <v>24.840000199999999</v>
      </c>
      <c r="U25" s="22">
        <v>25.110000599999999</v>
      </c>
      <c r="V25" s="22">
        <v>24.4899998</v>
      </c>
      <c r="W25" s="22">
        <v>24.770000499999998</v>
      </c>
      <c r="X25" s="22">
        <v>15.064464600000001</v>
      </c>
      <c r="Y25" s="22">
        <v>623400</v>
      </c>
      <c r="Z25" s="22">
        <v>-4.0207999999999997E-3</v>
      </c>
    </row>
    <row r="26" spans="1:26" ht="17" thickBot="1" x14ac:dyDescent="0.25">
      <c r="A26" s="16">
        <v>44197</v>
      </c>
      <c r="B26" s="18">
        <v>23681.170750000001</v>
      </c>
      <c r="C26">
        <f t="shared" si="1"/>
        <v>0.1089751140234527</v>
      </c>
      <c r="E26" s="20">
        <f>3.83333333333333*(1/100)</f>
        <v>3.8333333333333303E-2</v>
      </c>
      <c r="K26" s="7">
        <v>4.3005349999999998E-2</v>
      </c>
      <c r="S26" s="23">
        <v>42173</v>
      </c>
      <c r="T26" s="22">
        <v>25.049999199999998</v>
      </c>
      <c r="U26" s="22">
        <v>25.360000599999999</v>
      </c>
      <c r="V26" s="22">
        <v>24.280000699999999</v>
      </c>
      <c r="W26" s="22">
        <v>24.420000099999999</v>
      </c>
      <c r="X26" s="22">
        <v>14.8516054</v>
      </c>
      <c r="Y26" s="22">
        <v>957600</v>
      </c>
      <c r="Z26" s="22">
        <v>-1.4129900000000001E-2</v>
      </c>
    </row>
    <row r="27" spans="1:26" ht="17" thickBot="1" x14ac:dyDescent="0.25">
      <c r="A27" s="16">
        <v>44562</v>
      </c>
      <c r="B27" s="18">
        <v>26006.892500000002</v>
      </c>
      <c r="C27">
        <f t="shared" si="1"/>
        <v>9.8209745394450168E-2</v>
      </c>
      <c r="E27" s="20">
        <f>6.29166666666667*(1/100)</f>
        <v>6.2916666666666704E-2</v>
      </c>
      <c r="K27" s="7">
        <v>3.5456439999999999E-2</v>
      </c>
      <c r="S27" s="23">
        <v>42174</v>
      </c>
      <c r="T27" s="22">
        <v>24.459999100000001</v>
      </c>
      <c r="U27" s="22">
        <v>25.0599995</v>
      </c>
      <c r="V27" s="22">
        <v>24.360000599999999</v>
      </c>
      <c r="W27" s="22">
        <v>24.469999300000001</v>
      </c>
      <c r="X27" s="22">
        <v>14.882013300000001</v>
      </c>
      <c r="Y27" s="22">
        <v>930600</v>
      </c>
      <c r="Z27" s="22">
        <v>2.0474500000000001E-3</v>
      </c>
    </row>
    <row r="28" spans="1:26" ht="17" thickBot="1" x14ac:dyDescent="0.25">
      <c r="A28" s="16">
        <v>44927</v>
      </c>
      <c r="B28" s="18">
        <v>27720.709500000001</v>
      </c>
      <c r="C28">
        <f t="shared" si="1"/>
        <v>6.5898569004351398E-2</v>
      </c>
      <c r="E28" s="20">
        <f>5.63333333333333*(1/100)</f>
        <v>5.6333333333333305E-2</v>
      </c>
      <c r="K28" s="7">
        <v>1.8980480000000001E-2</v>
      </c>
      <c r="S28" s="23">
        <v>42177</v>
      </c>
      <c r="T28" s="22">
        <v>25</v>
      </c>
      <c r="U28" s="22">
        <v>25.139999400000001</v>
      </c>
      <c r="V28" s="22">
        <v>24.540000899999999</v>
      </c>
      <c r="W28" s="22">
        <v>24.579999900000001</v>
      </c>
      <c r="X28" s="22">
        <v>14.948909799999999</v>
      </c>
      <c r="Y28" s="22">
        <v>495200</v>
      </c>
      <c r="Z28" s="22">
        <v>4.49512E-3</v>
      </c>
    </row>
    <row r="29" spans="1:26" ht="17" thickBot="1" x14ac:dyDescent="0.25">
      <c r="K29" s="7">
        <v>3.6645599999999999E-3</v>
      </c>
      <c r="S29" s="23">
        <v>42178</v>
      </c>
      <c r="T29" s="22">
        <v>23.670000099999999</v>
      </c>
      <c r="U29" s="22">
        <v>23.799999199999998</v>
      </c>
      <c r="V29" s="22">
        <v>22.5</v>
      </c>
      <c r="W29" s="22">
        <v>22.639999400000001</v>
      </c>
      <c r="X29" s="22">
        <v>13.769051599999999</v>
      </c>
      <c r="Y29" s="22">
        <v>3584900</v>
      </c>
      <c r="Z29" s="22">
        <v>-7.8925999999999996E-2</v>
      </c>
    </row>
    <row r="30" spans="1:26" ht="17" thickBot="1" x14ac:dyDescent="0.25">
      <c r="K30" s="7">
        <v>4.077741E-2</v>
      </c>
      <c r="S30" s="23">
        <v>42179</v>
      </c>
      <c r="T30" s="22">
        <v>22.299999199999998</v>
      </c>
      <c r="U30" s="22">
        <v>23.6900005</v>
      </c>
      <c r="V30" s="22">
        <v>22.25</v>
      </c>
      <c r="W30" s="22">
        <v>23.540000899999999</v>
      </c>
      <c r="X30" s="22">
        <v>14.3164129</v>
      </c>
      <c r="Y30" s="22">
        <v>11887200</v>
      </c>
      <c r="Z30" s="22">
        <v>3.975302E-2</v>
      </c>
    </row>
    <row r="31" spans="1:26" ht="17" thickBot="1" x14ac:dyDescent="0.25">
      <c r="K31" s="7">
        <v>4.8270029999999998E-2</v>
      </c>
      <c r="S31" s="23">
        <v>42180</v>
      </c>
      <c r="T31" s="22">
        <v>23.520000499999998</v>
      </c>
      <c r="U31" s="22">
        <v>23.709999100000001</v>
      </c>
      <c r="V31" s="22">
        <v>23.2399998</v>
      </c>
      <c r="W31" s="22">
        <v>23.5</v>
      </c>
      <c r="X31" s="22">
        <v>14.2920818</v>
      </c>
      <c r="Y31" s="22">
        <v>2466000</v>
      </c>
      <c r="Z31" s="22">
        <v>-1.6995000000000001E-3</v>
      </c>
    </row>
    <row r="32" spans="1:26" ht="17" thickBot="1" x14ac:dyDescent="0.25">
      <c r="K32" s="7">
        <v>5.3979560000000003E-2</v>
      </c>
      <c r="S32" s="23">
        <v>42181</v>
      </c>
      <c r="T32" s="22">
        <v>23.4400005</v>
      </c>
      <c r="U32" s="22">
        <v>23.5100002</v>
      </c>
      <c r="V32" s="22">
        <v>22.780000699999999</v>
      </c>
      <c r="W32" s="22">
        <v>22.979999500000002</v>
      </c>
      <c r="X32" s="22">
        <v>13.975834799999999</v>
      </c>
      <c r="Y32" s="22">
        <v>2322100</v>
      </c>
      <c r="Z32" s="22">
        <v>-2.2127399999999998E-2</v>
      </c>
    </row>
    <row r="33" spans="11:26" ht="17" thickBot="1" x14ac:dyDescent="0.25">
      <c r="K33" s="7">
        <v>4.2349640000000001E-2</v>
      </c>
      <c r="S33" s="23">
        <v>42184</v>
      </c>
      <c r="T33" s="22">
        <v>22.780000699999999</v>
      </c>
      <c r="U33" s="22">
        <v>23.030000699999999</v>
      </c>
      <c r="V33" s="22">
        <v>22.159999800000001</v>
      </c>
      <c r="W33" s="22">
        <v>22.1900005</v>
      </c>
      <c r="X33" s="22">
        <v>13.4953804</v>
      </c>
      <c r="Y33" s="22">
        <v>1629000</v>
      </c>
      <c r="Z33" s="22">
        <v>-3.4377499999999998E-2</v>
      </c>
    </row>
    <row r="34" spans="11:26" ht="17" thickBot="1" x14ac:dyDescent="0.25">
      <c r="K34" s="7">
        <v>3.0288200000000001E-2</v>
      </c>
      <c r="S34" s="23">
        <v>42185</v>
      </c>
      <c r="T34" s="22">
        <v>22.350000399999999</v>
      </c>
      <c r="U34" s="22">
        <v>22.590000199999999</v>
      </c>
      <c r="V34" s="22">
        <v>21.790000899999999</v>
      </c>
      <c r="W34" s="22">
        <v>21.889999400000001</v>
      </c>
      <c r="X34" s="22">
        <v>13.3129215</v>
      </c>
      <c r="Y34" s="22">
        <v>1697200</v>
      </c>
      <c r="Z34" s="22">
        <v>-1.35201E-2</v>
      </c>
    </row>
    <row r="35" spans="11:26" ht="17" thickBot="1" x14ac:dyDescent="0.25">
      <c r="K35" s="7">
        <v>2.9516569999999999E-2</v>
      </c>
      <c r="S35" s="23">
        <v>42186</v>
      </c>
      <c r="T35" s="22">
        <v>21.829999900000001</v>
      </c>
      <c r="U35" s="22">
        <v>22.360000599999999</v>
      </c>
      <c r="V35" s="22">
        <v>21.4400005</v>
      </c>
      <c r="W35" s="22">
        <v>21.5699997</v>
      </c>
      <c r="X35" s="22">
        <v>13.118307100000001</v>
      </c>
      <c r="Y35" s="22">
        <v>3047400</v>
      </c>
      <c r="Z35" s="22">
        <v>-1.46185E-2</v>
      </c>
    </row>
    <row r="36" spans="11:26" ht="17" thickBot="1" x14ac:dyDescent="0.25">
      <c r="K36" s="7">
        <v>2.6074420000000001E-2</v>
      </c>
      <c r="S36" s="23">
        <v>42187</v>
      </c>
      <c r="T36" s="22">
        <v>21.670000099999999</v>
      </c>
      <c r="U36" s="22">
        <v>22.290000899999999</v>
      </c>
      <c r="V36" s="22">
        <v>21.600000399999999</v>
      </c>
      <c r="W36" s="22">
        <v>21.8799992</v>
      </c>
      <c r="X36" s="22">
        <v>13.306837099999999</v>
      </c>
      <c r="Y36" s="22">
        <v>1798400</v>
      </c>
      <c r="Z36" s="22">
        <v>1.437152E-2</v>
      </c>
    </row>
    <row r="37" spans="11:26" ht="17" thickBot="1" x14ac:dyDescent="0.25">
      <c r="K37" s="7">
        <v>2.8054200000000001E-2</v>
      </c>
      <c r="S37" s="23">
        <v>42191</v>
      </c>
      <c r="T37" s="22">
        <v>21.670000099999999</v>
      </c>
      <c r="U37" s="22">
        <v>22.139999400000001</v>
      </c>
      <c r="V37" s="22">
        <v>21.649999600000001</v>
      </c>
      <c r="W37" s="22">
        <v>22.100000399999999</v>
      </c>
      <c r="X37" s="22">
        <v>13.440637600000001</v>
      </c>
      <c r="Y37" s="22">
        <v>1021600</v>
      </c>
      <c r="Z37" s="22">
        <v>1.005502E-2</v>
      </c>
    </row>
    <row r="38" spans="11:26" ht="17" thickBot="1" x14ac:dyDescent="0.25">
      <c r="K38" s="7">
        <v>2.9312040000000001E-2</v>
      </c>
      <c r="S38" s="23">
        <v>42192</v>
      </c>
      <c r="T38" s="22">
        <v>22.1900005</v>
      </c>
      <c r="U38" s="22">
        <v>22.6299992</v>
      </c>
      <c r="V38" s="22">
        <v>21.7600002</v>
      </c>
      <c r="W38" s="22">
        <v>22.360000599999999</v>
      </c>
      <c r="X38" s="22">
        <v>13.5987682</v>
      </c>
      <c r="Y38" s="22">
        <v>1478200</v>
      </c>
      <c r="Z38" s="22">
        <v>1.176511E-2</v>
      </c>
    </row>
    <row r="39" spans="11:26" ht="17" thickBot="1" x14ac:dyDescent="0.25">
      <c r="K39" s="7">
        <v>2.3376899999999999E-2</v>
      </c>
      <c r="S39" s="23">
        <v>42193</v>
      </c>
      <c r="T39" s="22">
        <v>22.579999900000001</v>
      </c>
      <c r="U39" s="22">
        <v>22.579999900000001</v>
      </c>
      <c r="V39" s="22">
        <v>21.840000199999999</v>
      </c>
      <c r="W39" s="22">
        <v>22.1200008</v>
      </c>
      <c r="X39" s="22">
        <v>13.452803599999999</v>
      </c>
      <c r="Y39" s="22">
        <v>718400</v>
      </c>
      <c r="Z39" s="22">
        <v>-1.0733700000000001E-2</v>
      </c>
    </row>
    <row r="40" spans="11:26" ht="17" thickBot="1" x14ac:dyDescent="0.25">
      <c r="K40" s="7">
        <v>1.552279E-2</v>
      </c>
      <c r="S40" s="23">
        <v>42194</v>
      </c>
      <c r="T40" s="22">
        <v>22.329999900000001</v>
      </c>
      <c r="U40" s="22">
        <v>22.389999400000001</v>
      </c>
      <c r="V40" s="22">
        <v>21.729999500000002</v>
      </c>
      <c r="W40" s="22">
        <v>21.780000699999999</v>
      </c>
      <c r="X40" s="22">
        <v>13.246025100000001</v>
      </c>
      <c r="Y40" s="22">
        <v>1064400</v>
      </c>
      <c r="Z40" s="22">
        <v>-1.5370699999999999E-2</v>
      </c>
    </row>
    <row r="41" spans="11:26" ht="17" thickBot="1" x14ac:dyDescent="0.25">
      <c r="K41" s="7">
        <v>2.188027E-2</v>
      </c>
      <c r="S41" s="23">
        <v>42195</v>
      </c>
      <c r="T41" s="22">
        <v>21.8799992</v>
      </c>
      <c r="U41" s="22">
        <v>22.2399998</v>
      </c>
      <c r="V41" s="22">
        <v>21.659999800000001</v>
      </c>
      <c r="W41" s="22">
        <v>22.159999800000001</v>
      </c>
      <c r="X41" s="22">
        <v>13.477128</v>
      </c>
      <c r="Y41" s="22">
        <v>989800</v>
      </c>
      <c r="Z41" s="22">
        <v>1.7446969999999999E-2</v>
      </c>
    </row>
    <row r="42" spans="11:26" ht="17" thickBot="1" x14ac:dyDescent="0.25">
      <c r="K42" s="7">
        <v>3.3768569999999998E-2</v>
      </c>
      <c r="S42" s="23">
        <v>42198</v>
      </c>
      <c r="T42" s="22">
        <v>22.229999500000002</v>
      </c>
      <c r="U42" s="22">
        <v>22.409999800000001</v>
      </c>
      <c r="V42" s="22">
        <v>21.950000800000002</v>
      </c>
      <c r="W42" s="22">
        <v>22.2600002</v>
      </c>
      <c r="X42" s="22">
        <v>13.5379477</v>
      </c>
      <c r="Y42" s="22">
        <v>739100</v>
      </c>
      <c r="Z42" s="22">
        <v>4.5128E-3</v>
      </c>
    </row>
    <row r="43" spans="11:26" ht="17" thickBot="1" x14ac:dyDescent="0.25">
      <c r="K43" s="7">
        <v>2.8261709999999999E-2</v>
      </c>
      <c r="S43" s="23">
        <v>42199</v>
      </c>
      <c r="T43" s="22">
        <v>22.229999500000002</v>
      </c>
      <c r="U43" s="22">
        <v>22.280000699999999</v>
      </c>
      <c r="V43" s="22">
        <v>21.860000599999999</v>
      </c>
      <c r="W43" s="22">
        <v>22.100000399999999</v>
      </c>
      <c r="X43" s="22">
        <v>13.440637600000001</v>
      </c>
      <c r="Y43" s="22">
        <v>665500</v>
      </c>
      <c r="Z43" s="22">
        <v>-7.1878999999999997E-3</v>
      </c>
    </row>
    <row r="44" spans="11:26" ht="17" thickBot="1" x14ac:dyDescent="0.25">
      <c r="K44" s="7">
        <v>1.5860320000000001E-2</v>
      </c>
      <c r="S44" s="23">
        <v>42200</v>
      </c>
      <c r="T44" s="22">
        <v>22.0699997</v>
      </c>
      <c r="U44" s="22">
        <v>22.079999900000001</v>
      </c>
      <c r="V44" s="22">
        <v>21.280000699999999</v>
      </c>
      <c r="W44" s="22">
        <v>21.3099995</v>
      </c>
      <c r="X44" s="22">
        <v>12.960186999999999</v>
      </c>
      <c r="Y44" s="22">
        <v>755500</v>
      </c>
      <c r="Z44" s="22">
        <v>-3.5746100000000003E-2</v>
      </c>
    </row>
    <row r="45" spans="11:26" ht="17" thickBot="1" x14ac:dyDescent="0.25">
      <c r="K45" s="7">
        <v>2.2700950000000001E-2</v>
      </c>
      <c r="S45" s="23">
        <v>42201</v>
      </c>
      <c r="T45" s="22">
        <v>21.3099995</v>
      </c>
      <c r="U45" s="22">
        <v>21.909999800000001</v>
      </c>
      <c r="V45" s="22">
        <v>21.3099995</v>
      </c>
      <c r="W45" s="22">
        <v>21.350000399999999</v>
      </c>
      <c r="X45" s="22">
        <v>12.9845123</v>
      </c>
      <c r="Y45" s="22">
        <v>791900</v>
      </c>
      <c r="Z45" s="22">
        <v>1.87693E-3</v>
      </c>
    </row>
    <row r="46" spans="11:26" ht="17" thickBot="1" x14ac:dyDescent="0.25">
      <c r="K46" s="7">
        <v>2.677237E-2</v>
      </c>
      <c r="S46" s="23">
        <v>42202</v>
      </c>
      <c r="T46" s="22">
        <v>21.329999900000001</v>
      </c>
      <c r="U46" s="22">
        <v>21.479999500000002</v>
      </c>
      <c r="V46" s="22">
        <v>20.3199997</v>
      </c>
      <c r="W46" s="22">
        <v>20.350000399999999</v>
      </c>
      <c r="X46" s="22">
        <v>12.3763361</v>
      </c>
      <c r="Y46" s="22">
        <v>1219500</v>
      </c>
      <c r="Z46" s="22">
        <v>-4.6838600000000001E-2</v>
      </c>
    </row>
    <row r="47" spans="11:26" ht="17" thickBot="1" x14ac:dyDescent="0.25">
      <c r="K47" s="7">
        <v>3.3927499999999999E-3</v>
      </c>
      <c r="S47" s="23">
        <v>42205</v>
      </c>
      <c r="T47" s="22">
        <v>20.329999900000001</v>
      </c>
      <c r="U47" s="22">
        <v>20.520000499999998</v>
      </c>
      <c r="V47" s="22">
        <v>19.270000499999998</v>
      </c>
      <c r="W47" s="22">
        <v>19.360000599999999</v>
      </c>
      <c r="X47" s="22">
        <v>11.774241399999999</v>
      </c>
      <c r="Y47" s="22">
        <v>1365600</v>
      </c>
      <c r="Z47" s="22">
        <v>-4.8648900000000002E-2</v>
      </c>
    </row>
    <row r="48" spans="11:26" ht="17" thickBot="1" x14ac:dyDescent="0.25">
      <c r="K48" s="7">
        <v>3.225944E-2</v>
      </c>
      <c r="S48" s="23">
        <v>42206</v>
      </c>
      <c r="T48" s="22">
        <v>19.4300003</v>
      </c>
      <c r="U48" s="22">
        <v>20.049999199999998</v>
      </c>
      <c r="V48" s="22">
        <v>19.2600002</v>
      </c>
      <c r="W48" s="22">
        <v>19.350000399999999</v>
      </c>
      <c r="X48" s="22">
        <v>11.7681627</v>
      </c>
      <c r="Y48" s="22">
        <v>2674300</v>
      </c>
      <c r="Z48" s="22">
        <v>-5.1630000000000003E-4</v>
      </c>
    </row>
    <row r="49" spans="11:26" ht="17" thickBot="1" x14ac:dyDescent="0.25">
      <c r="K49" s="7">
        <v>2.8526719999999998E-2</v>
      </c>
      <c r="S49" s="23">
        <v>42207</v>
      </c>
      <c r="T49" s="22">
        <v>19.25</v>
      </c>
      <c r="U49" s="22">
        <v>19.600000399999999</v>
      </c>
      <c r="V49" s="22">
        <v>18.8799992</v>
      </c>
      <c r="W49" s="22">
        <v>19.459999100000001</v>
      </c>
      <c r="X49" s="22">
        <v>11.8350601</v>
      </c>
      <c r="Y49" s="22">
        <v>1169400</v>
      </c>
      <c r="Z49" s="22">
        <v>5.6846099999999997E-3</v>
      </c>
    </row>
    <row r="50" spans="11:26" ht="17" thickBot="1" x14ac:dyDescent="0.25">
      <c r="K50" s="7">
        <v>3.8391E-4</v>
      </c>
      <c r="S50" s="23">
        <v>42208</v>
      </c>
      <c r="T50" s="22">
        <v>19.350000399999999</v>
      </c>
      <c r="U50" s="22">
        <v>19.909999800000001</v>
      </c>
      <c r="V50" s="22">
        <v>19.209999100000001</v>
      </c>
      <c r="W50" s="22">
        <v>19.469999300000001</v>
      </c>
      <c r="X50" s="22">
        <v>11.841136000000001</v>
      </c>
      <c r="Y50" s="22">
        <v>915300</v>
      </c>
      <c r="Z50" s="22">
        <v>5.1338000000000002E-4</v>
      </c>
    </row>
    <row r="51" spans="11:26" ht="17" thickBot="1" x14ac:dyDescent="0.25">
      <c r="K51" s="7">
        <v>-3.5555000000000001E-3</v>
      </c>
      <c r="S51" s="23">
        <v>42209</v>
      </c>
      <c r="T51" s="22">
        <v>19.399999600000001</v>
      </c>
      <c r="U51" s="22">
        <v>19.530000699999999</v>
      </c>
      <c r="V51" s="22">
        <v>18.579999900000001</v>
      </c>
      <c r="W51" s="22">
        <v>18.979999500000002</v>
      </c>
      <c r="X51" s="22">
        <v>11.5431376</v>
      </c>
      <c r="Y51" s="22">
        <v>1561700</v>
      </c>
      <c r="Z51" s="22">
        <v>-2.5166399999999998E-2</v>
      </c>
    </row>
    <row r="52" spans="11:26" ht="17" thickBot="1" x14ac:dyDescent="0.25">
      <c r="K52" s="7">
        <v>1.6400399999999999E-3</v>
      </c>
      <c r="S52" s="23">
        <v>42212</v>
      </c>
      <c r="T52" s="22">
        <v>18.889999400000001</v>
      </c>
      <c r="U52" s="22">
        <v>19.959999100000001</v>
      </c>
      <c r="V52" s="22">
        <v>18.8099995</v>
      </c>
      <c r="W52" s="22">
        <v>19.709999100000001</v>
      </c>
      <c r="X52" s="22">
        <v>11.987106300000001</v>
      </c>
      <c r="Y52" s="22">
        <v>1761700</v>
      </c>
      <c r="Z52" s="22">
        <v>3.8461710000000003E-2</v>
      </c>
    </row>
    <row r="53" spans="11:26" ht="17" thickBot="1" x14ac:dyDescent="0.25">
      <c r="K53" s="7">
        <v>3.1567999999999999E-4</v>
      </c>
      <c r="S53" s="23">
        <v>42213</v>
      </c>
      <c r="T53" s="22">
        <v>19.75</v>
      </c>
      <c r="U53" s="22">
        <v>19.8199997</v>
      </c>
      <c r="V53" s="22">
        <v>19.3099995</v>
      </c>
      <c r="W53" s="22">
        <v>19.350000399999999</v>
      </c>
      <c r="X53" s="22">
        <v>11.7681627</v>
      </c>
      <c r="Y53" s="22">
        <v>1466000</v>
      </c>
      <c r="Z53" s="22">
        <v>-1.8264900000000001E-2</v>
      </c>
    </row>
    <row r="54" spans="11:26" ht="17" thickBot="1" x14ac:dyDescent="0.25">
      <c r="K54" s="7">
        <v>2.0693369999999999E-2</v>
      </c>
      <c r="S54" s="23">
        <v>42214</v>
      </c>
      <c r="T54" s="22">
        <v>19.350000399999999</v>
      </c>
      <c r="U54" s="22">
        <v>19.459999100000001</v>
      </c>
      <c r="V54" s="22">
        <v>18.8700008</v>
      </c>
      <c r="W54" s="22">
        <v>19.0699997</v>
      </c>
      <c r="X54" s="22">
        <v>11.5978756</v>
      </c>
      <c r="Y54" s="22">
        <v>1851100</v>
      </c>
      <c r="Z54" s="22">
        <v>-1.4470200000000001E-2</v>
      </c>
    </row>
    <row r="55" spans="11:26" ht="17" thickBot="1" x14ac:dyDescent="0.25">
      <c r="K55" s="7">
        <v>1.4648329999999999E-2</v>
      </c>
      <c r="S55" s="23">
        <v>42215</v>
      </c>
      <c r="T55" s="22">
        <v>18.969999300000001</v>
      </c>
      <c r="U55" s="22">
        <v>19.2399998</v>
      </c>
      <c r="V55" s="22">
        <v>18.799999199999998</v>
      </c>
      <c r="W55" s="22">
        <v>19.0599995</v>
      </c>
      <c r="X55" s="22">
        <v>11.591788299999999</v>
      </c>
      <c r="Y55" s="22">
        <v>1686900</v>
      </c>
      <c r="Z55" s="22">
        <v>-5.2490000000000002E-4</v>
      </c>
    </row>
    <row r="56" spans="11:26" ht="17" thickBot="1" x14ac:dyDescent="0.25">
      <c r="K56" s="7">
        <v>1.6222230000000001E-2</v>
      </c>
      <c r="S56" s="23">
        <v>42216</v>
      </c>
      <c r="T56" s="22">
        <v>19.1900005</v>
      </c>
      <c r="U56" s="22">
        <v>19.950000800000002</v>
      </c>
      <c r="V56" s="22">
        <v>19.079999900000001</v>
      </c>
      <c r="W56" s="22">
        <v>19.290000899999999</v>
      </c>
      <c r="X56" s="22">
        <v>11.7316742</v>
      </c>
      <c r="Y56" s="22">
        <v>4930900</v>
      </c>
      <c r="Z56" s="22">
        <v>1.2067670000000001E-2</v>
      </c>
    </row>
    <row r="57" spans="11:26" ht="17" thickBot="1" x14ac:dyDescent="0.25">
      <c r="K57" s="7">
        <v>1.1862699999999999E-3</v>
      </c>
      <c r="S57" s="23">
        <v>42219</v>
      </c>
      <c r="T57" s="22">
        <v>19.290000899999999</v>
      </c>
      <c r="U57" s="22">
        <v>19.5100002</v>
      </c>
      <c r="V57" s="22">
        <v>18.590000199999999</v>
      </c>
      <c r="W57" s="22">
        <v>18.829999900000001</v>
      </c>
      <c r="X57" s="22">
        <v>11.451911000000001</v>
      </c>
      <c r="Y57" s="22">
        <v>1570300</v>
      </c>
      <c r="Z57" s="22">
        <v>-2.3846800000000001E-2</v>
      </c>
    </row>
    <row r="58" spans="11:26" ht="17" thickBot="1" x14ac:dyDescent="0.25">
      <c r="K58" s="7">
        <v>1.261583E-2</v>
      </c>
      <c r="S58" s="23">
        <v>42220</v>
      </c>
      <c r="T58" s="22">
        <v>18.4400005</v>
      </c>
      <c r="U58" s="22">
        <v>18.5</v>
      </c>
      <c r="V58" s="22">
        <v>15.9399996</v>
      </c>
      <c r="W58" s="22">
        <v>16</v>
      </c>
      <c r="X58" s="22">
        <v>9.7307805999999992</v>
      </c>
      <c r="Y58" s="22">
        <v>4431600</v>
      </c>
      <c r="Z58" s="22">
        <v>-0.15029200000000001</v>
      </c>
    </row>
    <row r="59" spans="11:26" ht="17" thickBot="1" x14ac:dyDescent="0.25">
      <c r="K59" s="7">
        <v>2.13011E-2</v>
      </c>
      <c r="S59" s="23">
        <v>42221</v>
      </c>
      <c r="T59" s="22">
        <v>16.139999400000001</v>
      </c>
      <c r="U59" s="22">
        <v>17.3199997</v>
      </c>
      <c r="V59" s="22">
        <v>15.890000300000001</v>
      </c>
      <c r="W59" s="22">
        <v>17</v>
      </c>
      <c r="X59" s="22">
        <v>10.338953</v>
      </c>
      <c r="Y59" s="22">
        <v>3954000</v>
      </c>
      <c r="Z59" s="22">
        <v>6.2499859999999997E-2</v>
      </c>
    </row>
    <row r="60" spans="11:26" ht="17" thickBot="1" x14ac:dyDescent="0.25">
      <c r="K60" s="7">
        <v>2.4425829999999999E-2</v>
      </c>
      <c r="S60" s="23">
        <v>42222</v>
      </c>
      <c r="T60" s="22">
        <v>16.799999199999998</v>
      </c>
      <c r="U60" s="22">
        <v>16.8199997</v>
      </c>
      <c r="V60" s="22">
        <v>15.600000400000001</v>
      </c>
      <c r="W60" s="22">
        <v>15.649999599999999</v>
      </c>
      <c r="X60" s="22">
        <v>9.5179185900000007</v>
      </c>
      <c r="Y60" s="22">
        <v>1675500</v>
      </c>
      <c r="Z60" s="22">
        <v>-7.9411800000000005E-2</v>
      </c>
    </row>
    <row r="61" spans="11:26" ht="17" thickBot="1" x14ac:dyDescent="0.25">
      <c r="K61" s="7">
        <v>1.8122099999999999E-2</v>
      </c>
      <c r="S61" s="23">
        <v>42223</v>
      </c>
      <c r="T61" s="22">
        <v>15.600000400000001</v>
      </c>
      <c r="U61" s="22">
        <v>16.290000899999999</v>
      </c>
      <c r="V61" s="22">
        <v>15.600000400000001</v>
      </c>
      <c r="W61" s="22">
        <v>15.9399996</v>
      </c>
      <c r="X61" s="22">
        <v>9.6942892100000009</v>
      </c>
      <c r="Y61" s="22">
        <v>1716200</v>
      </c>
      <c r="Z61" s="22">
        <v>1.8530379999999999E-2</v>
      </c>
    </row>
    <row r="62" spans="11:26" ht="17" thickBot="1" x14ac:dyDescent="0.25">
      <c r="K62" s="7">
        <v>1.2335840000000001E-2</v>
      </c>
      <c r="S62" s="23">
        <v>42226</v>
      </c>
      <c r="T62" s="22">
        <v>16</v>
      </c>
      <c r="U62" s="22">
        <v>16.360000599999999</v>
      </c>
      <c r="V62" s="22">
        <v>15.7600002</v>
      </c>
      <c r="W62" s="22">
        <v>16.0699997</v>
      </c>
      <c r="X62" s="22">
        <v>9.7733516700000003</v>
      </c>
      <c r="Y62" s="22">
        <v>1362100</v>
      </c>
      <c r="Z62" s="22">
        <v>8.1555699999999991E-3</v>
      </c>
    </row>
    <row r="63" spans="11:26" ht="17" thickBot="1" x14ac:dyDescent="0.25">
      <c r="K63" s="7">
        <v>4.6978590000000001E-2</v>
      </c>
      <c r="S63" s="23">
        <v>42227</v>
      </c>
      <c r="T63" s="22">
        <v>16.030000699999999</v>
      </c>
      <c r="U63" s="22">
        <v>16.170000099999999</v>
      </c>
      <c r="V63" s="22">
        <v>15.6899996</v>
      </c>
      <c r="W63" s="22">
        <v>15.850000400000001</v>
      </c>
      <c r="X63" s="22">
        <v>9.6395521199999994</v>
      </c>
      <c r="Y63" s="22">
        <v>1243400</v>
      </c>
      <c r="Z63" s="22">
        <v>-1.36902E-2</v>
      </c>
    </row>
    <row r="64" spans="11:26" ht="17" thickBot="1" x14ac:dyDescent="0.25">
      <c r="K64" s="7">
        <v>8.0028000000000002E-2</v>
      </c>
      <c r="S64" s="23">
        <v>42228</v>
      </c>
      <c r="T64" s="22">
        <v>15.6800003</v>
      </c>
      <c r="U64" s="22">
        <v>16.520000499999998</v>
      </c>
      <c r="V64" s="22">
        <v>15.529999699999999</v>
      </c>
      <c r="W64" s="22">
        <v>16.329999900000001</v>
      </c>
      <c r="X64" s="22">
        <v>9.9314785000000008</v>
      </c>
      <c r="Y64" s="22">
        <v>1731800</v>
      </c>
      <c r="Z64" s="22">
        <v>3.0284229999999999E-2</v>
      </c>
    </row>
    <row r="65" spans="1:26" ht="17" thickBot="1" x14ac:dyDescent="0.25">
      <c r="K65" s="7">
        <v>4.1163379999999999E-2</v>
      </c>
      <c r="S65" s="23">
        <v>42229</v>
      </c>
      <c r="T65" s="22">
        <v>16.340000199999999</v>
      </c>
      <c r="U65" s="22">
        <v>16.860000599999999</v>
      </c>
      <c r="V65" s="22">
        <v>16.170000099999999</v>
      </c>
      <c r="W65" s="22">
        <v>16.610000599999999</v>
      </c>
      <c r="X65" s="22">
        <v>10.101767499999999</v>
      </c>
      <c r="Y65" s="22">
        <v>707200</v>
      </c>
      <c r="Z65" s="22">
        <v>1.7146390000000001E-2</v>
      </c>
    </row>
    <row r="66" spans="1:26" ht="16" x14ac:dyDescent="0.2">
      <c r="S66" s="23">
        <v>42230</v>
      </c>
      <c r="T66" s="22">
        <v>16.549999199999998</v>
      </c>
      <c r="U66" s="22">
        <v>16.889999400000001</v>
      </c>
      <c r="V66" s="22">
        <v>16.3099995</v>
      </c>
      <c r="W66" s="22">
        <v>16.889999400000001</v>
      </c>
      <c r="X66" s="22">
        <v>10.272052800000001</v>
      </c>
      <c r="Y66" s="22">
        <v>819500</v>
      </c>
      <c r="Z66" s="22">
        <v>1.6856969999999999E-2</v>
      </c>
    </row>
    <row r="67" spans="1:26" ht="16" x14ac:dyDescent="0.2">
      <c r="S67" s="23">
        <v>42233</v>
      </c>
      <c r="T67" s="22">
        <v>16.829999900000001</v>
      </c>
      <c r="U67" s="22">
        <v>17.299999199999998</v>
      </c>
      <c r="V67" s="22">
        <v>16.610000599999999</v>
      </c>
      <c r="W67" s="22">
        <v>17.290000899999999</v>
      </c>
      <c r="X67" s="22">
        <v>10.5153246</v>
      </c>
      <c r="Y67" s="22">
        <v>792900</v>
      </c>
      <c r="Z67" s="22">
        <v>2.368288E-2</v>
      </c>
    </row>
    <row r="68" spans="1:26" ht="16" x14ac:dyDescent="0.2">
      <c r="S68" s="23">
        <v>42234</v>
      </c>
      <c r="T68" s="22">
        <v>17.290000899999999</v>
      </c>
      <c r="U68" s="22">
        <v>17.3199997</v>
      </c>
      <c r="V68" s="22">
        <v>16.950000800000002</v>
      </c>
      <c r="W68" s="22">
        <v>17.020000499999998</v>
      </c>
      <c r="X68" s="22">
        <v>10.3511162</v>
      </c>
      <c r="Y68" s="22">
        <v>620700</v>
      </c>
      <c r="Z68" s="22">
        <v>-1.5616100000000001E-2</v>
      </c>
    </row>
    <row r="69" spans="1:26" ht="16" x14ac:dyDescent="0.2">
      <c r="S69" s="23">
        <v>42235</v>
      </c>
      <c r="T69" s="22">
        <v>16.9300003</v>
      </c>
      <c r="U69" s="22">
        <v>17.3700008</v>
      </c>
      <c r="V69" s="22">
        <v>16.770000499999998</v>
      </c>
      <c r="W69" s="22">
        <v>17.3099995</v>
      </c>
      <c r="X69" s="22">
        <v>10.5274868</v>
      </c>
      <c r="Y69" s="22">
        <v>1216100</v>
      </c>
      <c r="Z69" s="22">
        <v>1.70388E-2</v>
      </c>
    </row>
    <row r="70" spans="1:26" ht="16" x14ac:dyDescent="0.2">
      <c r="S70" s="23">
        <v>42236</v>
      </c>
      <c r="T70" s="22">
        <v>17.110000599999999</v>
      </c>
      <c r="U70" s="22">
        <v>17.5699997</v>
      </c>
      <c r="V70" s="22">
        <v>17.020000499999998</v>
      </c>
      <c r="W70" s="22">
        <v>17.200000800000002</v>
      </c>
      <c r="X70" s="22">
        <v>10.460587500000001</v>
      </c>
      <c r="Y70" s="22">
        <v>2358100</v>
      </c>
      <c r="Z70" s="22">
        <v>-6.3546999999999996E-3</v>
      </c>
    </row>
    <row r="71" spans="1:26" ht="16" x14ac:dyDescent="0.2">
      <c r="S71" s="23">
        <v>42237</v>
      </c>
      <c r="T71" s="22">
        <v>17.020000499999998</v>
      </c>
      <c r="U71" s="22">
        <v>17.0699997</v>
      </c>
      <c r="V71" s="22">
        <v>16.4300003</v>
      </c>
      <c r="W71" s="22">
        <v>16.5699997</v>
      </c>
      <c r="X71" s="22">
        <v>10.0774384</v>
      </c>
      <c r="Y71" s="22">
        <v>894000</v>
      </c>
      <c r="Z71" s="22">
        <v>-3.6627899999999998E-2</v>
      </c>
    </row>
    <row r="72" spans="1:26" ht="16" x14ac:dyDescent="0.2">
      <c r="S72" s="23">
        <v>42240</v>
      </c>
      <c r="T72" s="22">
        <v>15.859999699999999</v>
      </c>
      <c r="U72" s="22">
        <v>16.860000599999999</v>
      </c>
      <c r="V72" s="22">
        <v>15.2299995</v>
      </c>
      <c r="W72" s="22">
        <v>16.209999100000001</v>
      </c>
      <c r="X72" s="22">
        <v>9.8584937999999998</v>
      </c>
      <c r="Y72" s="22">
        <v>1364900</v>
      </c>
      <c r="Z72" s="22">
        <v>-2.1726200000000001E-2</v>
      </c>
    </row>
    <row r="73" spans="1:26" ht="16" x14ac:dyDescent="0.2">
      <c r="S73" s="23">
        <v>42241</v>
      </c>
      <c r="T73" s="22">
        <v>16.649999600000001</v>
      </c>
      <c r="U73" s="22">
        <v>16.649999600000001</v>
      </c>
      <c r="V73" s="22">
        <v>16.0100002</v>
      </c>
      <c r="W73" s="22">
        <v>16.030000699999999</v>
      </c>
      <c r="X73" s="22">
        <v>9.7490282100000005</v>
      </c>
      <c r="Y73" s="22">
        <v>770500</v>
      </c>
      <c r="Z73" s="22">
        <v>-1.1103699999999999E-2</v>
      </c>
    </row>
    <row r="74" spans="1:26" ht="16" x14ac:dyDescent="0.2">
      <c r="S74" s="23">
        <v>42242</v>
      </c>
      <c r="T74" s="22">
        <v>16.290000899999999</v>
      </c>
      <c r="U74" s="22">
        <v>16.360000599999999</v>
      </c>
      <c r="V74" s="22">
        <v>15.2399998</v>
      </c>
      <c r="W74" s="22">
        <v>15.920000099999999</v>
      </c>
      <c r="X74" s="22">
        <v>9.6821269999999995</v>
      </c>
      <c r="Y74" s="22">
        <v>2082500</v>
      </c>
      <c r="Z74" s="22">
        <v>-6.8623E-3</v>
      </c>
    </row>
    <row r="75" spans="1:26" ht="16" x14ac:dyDescent="0.2">
      <c r="S75" s="23">
        <v>42243</v>
      </c>
      <c r="T75" s="22">
        <v>16</v>
      </c>
      <c r="U75" s="22">
        <v>16.4899998</v>
      </c>
      <c r="V75" s="22">
        <v>15.7700005</v>
      </c>
      <c r="W75" s="22">
        <v>16.409999800000001</v>
      </c>
      <c r="X75" s="22">
        <v>9.9801340100000004</v>
      </c>
      <c r="Y75" s="22">
        <v>1006000</v>
      </c>
      <c r="Z75" s="22">
        <v>3.0779089999999999E-2</v>
      </c>
    </row>
    <row r="76" spans="1:26" ht="16" x14ac:dyDescent="0.2">
      <c r="S76" s="23">
        <v>42244</v>
      </c>
      <c r="T76" s="22">
        <v>16.1800003</v>
      </c>
      <c r="U76" s="22">
        <v>16.790000899999999</v>
      </c>
      <c r="V76" s="22">
        <v>15.5</v>
      </c>
      <c r="W76" s="22">
        <v>16.290000899999999</v>
      </c>
      <c r="X76" s="22">
        <v>10.0355749</v>
      </c>
      <c r="Y76" s="22">
        <v>1143500</v>
      </c>
      <c r="Z76" s="22">
        <v>5.5551300000000001E-3</v>
      </c>
    </row>
    <row r="77" spans="1:26" ht="16" x14ac:dyDescent="0.2">
      <c r="S77" s="23">
        <v>42247</v>
      </c>
      <c r="T77" s="22">
        <v>16.229999500000002</v>
      </c>
      <c r="U77" s="22">
        <v>16.290000899999999</v>
      </c>
      <c r="V77" s="22">
        <v>15.850000400000001</v>
      </c>
      <c r="W77" s="22">
        <v>16.0599995</v>
      </c>
      <c r="X77" s="22">
        <v>9.8938827499999995</v>
      </c>
      <c r="Y77" s="22">
        <v>650600</v>
      </c>
      <c r="Z77" s="22">
        <v>-1.4119E-2</v>
      </c>
    </row>
    <row r="78" spans="1:26" ht="16" x14ac:dyDescent="0.2">
      <c r="S78" s="23">
        <v>42248</v>
      </c>
      <c r="T78" s="22">
        <v>15.850000400000001</v>
      </c>
      <c r="U78" s="22">
        <v>16.040000899999999</v>
      </c>
      <c r="V78" s="22">
        <v>15.300000199999999</v>
      </c>
      <c r="W78" s="22">
        <v>15.579999900000001</v>
      </c>
      <c r="X78" s="22">
        <v>9.5981740999999996</v>
      </c>
      <c r="Y78" s="22">
        <v>1139200</v>
      </c>
      <c r="Z78" s="22">
        <v>-2.9888000000000001E-2</v>
      </c>
    </row>
    <row r="79" spans="1:26" ht="16" x14ac:dyDescent="0.2">
      <c r="A79" s="16"/>
      <c r="B79" s="17"/>
      <c r="S79" s="23">
        <v>42249</v>
      </c>
      <c r="T79" s="22">
        <v>15.720000300000001</v>
      </c>
      <c r="U79" s="22">
        <v>15.899999599999999</v>
      </c>
      <c r="V79" s="22">
        <v>15.420000099999999</v>
      </c>
      <c r="W79" s="22">
        <v>15.75</v>
      </c>
      <c r="X79" s="22">
        <v>9.7029056499999999</v>
      </c>
      <c r="Y79" s="22">
        <v>517800</v>
      </c>
      <c r="Z79" s="22">
        <v>1.091161E-2</v>
      </c>
    </row>
    <row r="80" spans="1:26" ht="16" x14ac:dyDescent="0.2">
      <c r="S80" s="23">
        <v>42250</v>
      </c>
      <c r="T80" s="22">
        <v>15.6899996</v>
      </c>
      <c r="U80" s="22">
        <v>16.209999100000001</v>
      </c>
      <c r="V80" s="22">
        <v>15.6899996</v>
      </c>
      <c r="W80" s="22">
        <v>16.040000899999999</v>
      </c>
      <c r="X80" s="22">
        <v>9.8815631899999996</v>
      </c>
      <c r="Y80" s="22">
        <v>699500</v>
      </c>
      <c r="Z80" s="22">
        <v>1.8412789999999998E-2</v>
      </c>
    </row>
    <row r="81" spans="19:26" ht="16" x14ac:dyDescent="0.2">
      <c r="S81" s="23">
        <v>42251</v>
      </c>
      <c r="T81" s="22">
        <v>15.899999599999999</v>
      </c>
      <c r="U81" s="22">
        <v>16.100000399999999</v>
      </c>
      <c r="V81" s="22">
        <v>15.529999699999999</v>
      </c>
      <c r="W81" s="22">
        <v>15.5600004</v>
      </c>
      <c r="X81" s="22">
        <v>9.5858554799999993</v>
      </c>
      <c r="Y81" s="22">
        <v>567100</v>
      </c>
      <c r="Z81" s="22">
        <v>-2.9925199999999999E-2</v>
      </c>
    </row>
    <row r="82" spans="19:26" ht="16" x14ac:dyDescent="0.2">
      <c r="S82" s="23">
        <v>42255</v>
      </c>
      <c r="T82" s="22">
        <v>15.699999800000001</v>
      </c>
      <c r="U82" s="22">
        <v>16.1900005</v>
      </c>
      <c r="V82" s="22">
        <v>15.4899998</v>
      </c>
      <c r="W82" s="22">
        <v>15.6599998</v>
      </c>
      <c r="X82" s="22">
        <v>9.6474609400000002</v>
      </c>
      <c r="Y82" s="22">
        <v>802900</v>
      </c>
      <c r="Z82" s="22">
        <v>6.4266999999999996E-3</v>
      </c>
    </row>
    <row r="83" spans="19:26" ht="16" x14ac:dyDescent="0.2">
      <c r="S83" s="23">
        <v>42256</v>
      </c>
      <c r="T83" s="22">
        <v>15.7600002</v>
      </c>
      <c r="U83" s="22">
        <v>15.7700005</v>
      </c>
      <c r="V83" s="22">
        <v>15.21</v>
      </c>
      <c r="W83" s="22">
        <v>15.2600002</v>
      </c>
      <c r="X83" s="22">
        <v>9.4010353099999993</v>
      </c>
      <c r="Y83" s="22">
        <v>437200</v>
      </c>
      <c r="Z83" s="22">
        <v>-2.5543099999999999E-2</v>
      </c>
    </row>
    <row r="84" spans="19:26" ht="16" x14ac:dyDescent="0.2">
      <c r="S84" s="23">
        <v>42257</v>
      </c>
      <c r="T84" s="22">
        <v>15.199999800000001</v>
      </c>
      <c r="U84" s="22">
        <v>15.390000300000001</v>
      </c>
      <c r="V84" s="22">
        <v>14.779999699999999</v>
      </c>
      <c r="W84" s="22">
        <v>14.920000099999999</v>
      </c>
      <c r="X84" s="22">
        <v>9.1915779099999995</v>
      </c>
      <c r="Y84" s="22">
        <v>1158300</v>
      </c>
      <c r="Z84" s="22">
        <v>-2.22802E-2</v>
      </c>
    </row>
    <row r="85" spans="19:26" ht="16" x14ac:dyDescent="0.2">
      <c r="S85" s="23">
        <v>42258</v>
      </c>
      <c r="T85" s="22">
        <v>14.859999699999999</v>
      </c>
      <c r="U85" s="22">
        <v>14.9399996</v>
      </c>
      <c r="V85" s="22">
        <v>14.3199997</v>
      </c>
      <c r="W85" s="22">
        <v>14.579999900000001</v>
      </c>
      <c r="X85" s="22">
        <v>8.9821147900000007</v>
      </c>
      <c r="Y85" s="22">
        <v>1112100</v>
      </c>
      <c r="Z85" s="22">
        <v>-2.2788599999999999E-2</v>
      </c>
    </row>
    <row r="86" spans="19:26" ht="16" x14ac:dyDescent="0.2">
      <c r="S86" s="23">
        <v>42261</v>
      </c>
      <c r="T86" s="22">
        <v>14.720000300000001</v>
      </c>
      <c r="U86" s="22">
        <v>14.720000300000001</v>
      </c>
      <c r="V86" s="22">
        <v>14.1800003</v>
      </c>
      <c r="W86" s="22">
        <v>14.359999699999999</v>
      </c>
      <c r="X86" s="22">
        <v>8.8465843199999998</v>
      </c>
      <c r="Y86" s="22">
        <v>472600</v>
      </c>
      <c r="Z86" s="22">
        <v>-1.5088900000000001E-2</v>
      </c>
    </row>
    <row r="87" spans="19:26" ht="16" x14ac:dyDescent="0.2">
      <c r="S87" s="23">
        <v>42262</v>
      </c>
      <c r="T87" s="22">
        <v>14.4300003</v>
      </c>
      <c r="U87" s="22">
        <v>14.8800001</v>
      </c>
      <c r="V87" s="22">
        <v>14.399999599999999</v>
      </c>
      <c r="W87" s="22">
        <v>14.8400002</v>
      </c>
      <c r="X87" s="22">
        <v>9.1422929800000006</v>
      </c>
      <c r="Y87" s="22">
        <v>611600</v>
      </c>
      <c r="Z87" s="22">
        <v>3.3426310000000001E-2</v>
      </c>
    </row>
    <row r="88" spans="19:26" ht="16" x14ac:dyDescent="0.2">
      <c r="S88" s="23">
        <v>42263</v>
      </c>
      <c r="T88" s="22">
        <v>14.8400002</v>
      </c>
      <c r="U88" s="22">
        <v>15.5</v>
      </c>
      <c r="V88" s="22">
        <v>14.7600002</v>
      </c>
      <c r="W88" s="22">
        <v>15.350000400000001</v>
      </c>
      <c r="X88" s="22">
        <v>9.4564800299999998</v>
      </c>
      <c r="Y88" s="22">
        <v>1078200</v>
      </c>
      <c r="Z88" s="22">
        <v>3.436633E-2</v>
      </c>
    </row>
    <row r="89" spans="19:26" ht="16" x14ac:dyDescent="0.2">
      <c r="S89" s="23">
        <v>42264</v>
      </c>
      <c r="T89" s="22">
        <v>15.4099998</v>
      </c>
      <c r="U89" s="22">
        <v>15.9399996</v>
      </c>
      <c r="V89" s="22">
        <v>15.350000400000001</v>
      </c>
      <c r="W89" s="22">
        <v>15.4300003</v>
      </c>
      <c r="X89" s="22">
        <v>9.5057659099999992</v>
      </c>
      <c r="Y89" s="22">
        <v>930700</v>
      </c>
      <c r="Z89" s="22">
        <v>5.2118599999999996E-3</v>
      </c>
    </row>
    <row r="90" spans="19:26" ht="16" x14ac:dyDescent="0.2">
      <c r="S90" s="23">
        <v>42265</v>
      </c>
      <c r="T90" s="22">
        <v>15.279999699999999</v>
      </c>
      <c r="U90" s="22">
        <v>15.890000300000001</v>
      </c>
      <c r="V90" s="22">
        <v>15.220000300000001</v>
      </c>
      <c r="W90" s="22">
        <v>15.6300001</v>
      </c>
      <c r="X90" s="22">
        <v>9.6289796800000005</v>
      </c>
      <c r="Y90" s="22">
        <v>1089400</v>
      </c>
      <c r="Z90" s="22">
        <v>1.2962E-2</v>
      </c>
    </row>
    <row r="91" spans="19:26" ht="16" x14ac:dyDescent="0.2">
      <c r="S91" s="23">
        <v>42268</v>
      </c>
      <c r="T91" s="22">
        <v>15.8400002</v>
      </c>
      <c r="U91" s="22">
        <v>15.899999599999999</v>
      </c>
      <c r="V91" s="22">
        <v>14.9799995</v>
      </c>
      <c r="W91" s="22">
        <v>15.170000099999999</v>
      </c>
      <c r="X91" s="22">
        <v>9.34559155</v>
      </c>
      <c r="Y91" s="22">
        <v>698400</v>
      </c>
      <c r="Z91" s="22">
        <v>-2.94308E-2</v>
      </c>
    </row>
    <row r="92" spans="19:26" ht="16" x14ac:dyDescent="0.2">
      <c r="S92" s="23">
        <v>42269</v>
      </c>
      <c r="T92" s="22">
        <v>14.9899998</v>
      </c>
      <c r="U92" s="22">
        <v>14.9899998</v>
      </c>
      <c r="V92" s="22">
        <v>14.4300003</v>
      </c>
      <c r="W92" s="22">
        <v>14.5200005</v>
      </c>
      <c r="X92" s="22">
        <v>8.9451522800000003</v>
      </c>
      <c r="Y92" s="22">
        <v>1343900</v>
      </c>
      <c r="Z92" s="22">
        <v>-4.2847900000000001E-2</v>
      </c>
    </row>
    <row r="93" spans="19:26" ht="16" x14ac:dyDescent="0.2">
      <c r="S93" s="23">
        <v>42270</v>
      </c>
      <c r="T93" s="22">
        <v>14.609999699999999</v>
      </c>
      <c r="U93" s="22">
        <v>14.779999699999999</v>
      </c>
      <c r="V93" s="22">
        <v>13.800000199999999</v>
      </c>
      <c r="W93" s="22">
        <v>14</v>
      </c>
      <c r="X93" s="22">
        <v>8.6248054500000002</v>
      </c>
      <c r="Y93" s="22">
        <v>973800</v>
      </c>
      <c r="Z93" s="22">
        <v>-3.5812299999999998E-2</v>
      </c>
    </row>
    <row r="94" spans="19:26" ht="16" x14ac:dyDescent="0.2">
      <c r="S94" s="23">
        <v>42271</v>
      </c>
      <c r="T94" s="22">
        <v>13.7299995</v>
      </c>
      <c r="U94" s="22">
        <v>14.050000199999999</v>
      </c>
      <c r="V94" s="22">
        <v>13.4399996</v>
      </c>
      <c r="W94" s="22">
        <v>13.529999699999999</v>
      </c>
      <c r="X94" s="22">
        <v>8.3352584800000002</v>
      </c>
      <c r="Y94" s="22">
        <v>1762900</v>
      </c>
      <c r="Z94" s="22">
        <v>-3.3571400000000001E-2</v>
      </c>
    </row>
    <row r="95" spans="19:26" ht="16" x14ac:dyDescent="0.2">
      <c r="S95" s="23">
        <v>42272</v>
      </c>
      <c r="T95" s="22">
        <v>13.6199999</v>
      </c>
      <c r="U95" s="22">
        <v>13.6300001</v>
      </c>
      <c r="V95" s="22">
        <v>12.71</v>
      </c>
      <c r="W95" s="22">
        <v>12.800000199999999</v>
      </c>
      <c r="X95" s="22">
        <v>7.8855352400000003</v>
      </c>
      <c r="Y95" s="22">
        <v>1489200</v>
      </c>
      <c r="Z95" s="22">
        <v>-5.3954299999999997E-2</v>
      </c>
    </row>
    <row r="96" spans="19:26" ht="16" x14ac:dyDescent="0.2">
      <c r="S96" s="23">
        <v>42275</v>
      </c>
      <c r="T96" s="22">
        <v>12.7600002</v>
      </c>
      <c r="U96" s="22">
        <v>13.0100002</v>
      </c>
      <c r="V96" s="22">
        <v>12.029999699999999</v>
      </c>
      <c r="W96" s="22">
        <v>12.04</v>
      </c>
      <c r="X96" s="22">
        <v>7.4173326499999996</v>
      </c>
      <c r="Y96" s="22">
        <v>2655800</v>
      </c>
      <c r="Z96" s="22">
        <v>-5.9374900000000001E-2</v>
      </c>
    </row>
    <row r="97" spans="19:26" ht="16" x14ac:dyDescent="0.2">
      <c r="S97" s="23">
        <v>42276</v>
      </c>
      <c r="T97" s="22">
        <v>12.0900002</v>
      </c>
      <c r="U97" s="22">
        <v>12.170000099999999</v>
      </c>
      <c r="V97" s="22">
        <v>11.2299995</v>
      </c>
      <c r="W97" s="22">
        <v>11.4399996</v>
      </c>
      <c r="X97" s="22">
        <v>7.0476975399999997</v>
      </c>
      <c r="Y97" s="22">
        <v>2621900</v>
      </c>
      <c r="Z97" s="22">
        <v>-4.9834000000000003E-2</v>
      </c>
    </row>
    <row r="98" spans="19:26" ht="16" x14ac:dyDescent="0.2">
      <c r="S98" s="23">
        <v>42277</v>
      </c>
      <c r="T98" s="22">
        <v>11.529999699999999</v>
      </c>
      <c r="U98" s="22">
        <v>11.970000300000001</v>
      </c>
      <c r="V98" s="22">
        <v>10.79</v>
      </c>
      <c r="W98" s="22">
        <v>11.609999699999999</v>
      </c>
      <c r="X98" s="22">
        <v>7.1524262399999996</v>
      </c>
      <c r="Y98" s="22">
        <v>2814700</v>
      </c>
      <c r="Z98" s="22">
        <v>1.485999E-2</v>
      </c>
    </row>
    <row r="99" spans="19:26" ht="16" x14ac:dyDescent="0.2">
      <c r="S99" s="23">
        <v>42278</v>
      </c>
      <c r="T99" s="22">
        <v>11.4899998</v>
      </c>
      <c r="U99" s="22">
        <v>11.9899998</v>
      </c>
      <c r="V99" s="22">
        <v>11.3100004</v>
      </c>
      <c r="W99" s="22">
        <v>11.5600004</v>
      </c>
      <c r="X99" s="22">
        <v>7.1216244700000004</v>
      </c>
      <c r="Y99" s="22">
        <v>1842700</v>
      </c>
      <c r="Z99" s="22">
        <v>-4.3065000000000004E-3</v>
      </c>
    </row>
    <row r="100" spans="19:26" ht="16" x14ac:dyDescent="0.2">
      <c r="S100" s="23">
        <v>42279</v>
      </c>
      <c r="T100" s="22">
        <v>11.359999699999999</v>
      </c>
      <c r="U100" s="22">
        <v>12.970000300000001</v>
      </c>
      <c r="V100" s="22">
        <v>11.300000199999999</v>
      </c>
      <c r="W100" s="22">
        <v>12.9300003</v>
      </c>
      <c r="X100" s="22">
        <v>7.9656243299999998</v>
      </c>
      <c r="Y100" s="22">
        <v>1969200</v>
      </c>
      <c r="Z100" s="22">
        <v>0.11851227</v>
      </c>
    </row>
    <row r="101" spans="19:26" ht="16" x14ac:dyDescent="0.2">
      <c r="S101" s="23">
        <v>42282</v>
      </c>
      <c r="T101" s="22">
        <v>12.970000300000001</v>
      </c>
      <c r="U101" s="22">
        <v>14.46</v>
      </c>
      <c r="V101" s="22">
        <v>12.890000300000001</v>
      </c>
      <c r="W101" s="22">
        <v>14.399999599999999</v>
      </c>
      <c r="X101" s="22">
        <v>8.8712291699999994</v>
      </c>
      <c r="Y101" s="22">
        <v>2249600</v>
      </c>
      <c r="Z101" s="22">
        <v>0.11368912</v>
      </c>
    </row>
    <row r="102" spans="19:26" ht="16" x14ac:dyDescent="0.2">
      <c r="S102" s="23">
        <v>42283</v>
      </c>
      <c r="T102" s="22">
        <v>14.329999900000001</v>
      </c>
      <c r="U102" s="22">
        <v>14.5100002</v>
      </c>
      <c r="V102" s="22">
        <v>14.0100002</v>
      </c>
      <c r="W102" s="22">
        <v>14.3699999</v>
      </c>
      <c r="X102" s="22">
        <v>8.8527479200000005</v>
      </c>
      <c r="Y102" s="22">
        <v>1233000</v>
      </c>
      <c r="Z102" s="22">
        <v>-2.0833000000000002E-3</v>
      </c>
    </row>
    <row r="103" spans="19:26" ht="16" x14ac:dyDescent="0.2">
      <c r="S103" s="23">
        <v>42284</v>
      </c>
      <c r="T103" s="22">
        <v>14.5100002</v>
      </c>
      <c r="U103" s="22">
        <v>14.71</v>
      </c>
      <c r="V103" s="22">
        <v>14.25</v>
      </c>
      <c r="W103" s="22">
        <v>14.71</v>
      </c>
      <c r="X103" s="22">
        <v>9.0622062700000008</v>
      </c>
      <c r="Y103" s="22">
        <v>1134900</v>
      </c>
      <c r="Z103" s="22">
        <v>2.3660259999999999E-2</v>
      </c>
    </row>
    <row r="104" spans="19:26" ht="16" x14ac:dyDescent="0.2">
      <c r="S104" s="23">
        <v>42285</v>
      </c>
      <c r="T104" s="22">
        <v>14.670000099999999</v>
      </c>
      <c r="U104" s="22">
        <v>15.079999900000001</v>
      </c>
      <c r="V104" s="22">
        <v>14.5100002</v>
      </c>
      <c r="W104" s="22">
        <v>14.920000099999999</v>
      </c>
      <c r="X104" s="22">
        <v>9.1915779099999995</v>
      </c>
      <c r="Y104" s="22">
        <v>1077300</v>
      </c>
      <c r="Z104" s="22">
        <v>1.4275950000000001E-2</v>
      </c>
    </row>
    <row r="105" spans="19:26" ht="16" x14ac:dyDescent="0.2">
      <c r="S105" s="23">
        <v>42286</v>
      </c>
      <c r="T105" s="22">
        <v>14.9099998</v>
      </c>
      <c r="U105" s="22">
        <v>15.140000300000001</v>
      </c>
      <c r="V105" s="22">
        <v>14.449999800000001</v>
      </c>
      <c r="W105" s="22">
        <v>14.9399996</v>
      </c>
      <c r="X105" s="22">
        <v>9.2038984300000006</v>
      </c>
      <c r="Y105" s="22">
        <v>1233800</v>
      </c>
      <c r="Z105" s="22">
        <v>1.34041E-3</v>
      </c>
    </row>
    <row r="106" spans="19:26" ht="16" x14ac:dyDescent="0.2">
      <c r="S106" s="23">
        <v>42289</v>
      </c>
      <c r="T106" s="22">
        <v>14.8800001</v>
      </c>
      <c r="U106" s="22">
        <v>15.0200005</v>
      </c>
      <c r="V106" s="22">
        <v>13.829999900000001</v>
      </c>
      <c r="W106" s="22">
        <v>14.04</v>
      </c>
      <c r="X106" s="22">
        <v>8.6494474399999994</v>
      </c>
      <c r="Y106" s="22">
        <v>1128500</v>
      </c>
      <c r="Z106" s="22">
        <v>-6.02409E-2</v>
      </c>
    </row>
    <row r="107" spans="19:26" ht="16" x14ac:dyDescent="0.2">
      <c r="S107" s="23">
        <v>42290</v>
      </c>
      <c r="T107" s="22">
        <v>13.9399996</v>
      </c>
      <c r="U107" s="22">
        <v>14.3800001</v>
      </c>
      <c r="V107" s="22">
        <v>13.79</v>
      </c>
      <c r="W107" s="22">
        <v>14.050000199999999</v>
      </c>
      <c r="X107" s="22">
        <v>8.6556081799999998</v>
      </c>
      <c r="Y107" s="22">
        <v>872800</v>
      </c>
      <c r="Z107" s="22">
        <v>7.1226999999999998E-4</v>
      </c>
    </row>
    <row r="108" spans="19:26" ht="16" x14ac:dyDescent="0.2">
      <c r="S108" s="23">
        <v>42291</v>
      </c>
      <c r="T108" s="22">
        <v>14.0699997</v>
      </c>
      <c r="U108" s="22">
        <v>14.4099998</v>
      </c>
      <c r="V108" s="22">
        <v>13.970000300000001</v>
      </c>
      <c r="W108" s="22">
        <v>14.350000400000001</v>
      </c>
      <c r="X108" s="22">
        <v>8.8404264500000007</v>
      </c>
      <c r="Y108" s="22">
        <v>603100</v>
      </c>
      <c r="Z108" s="22">
        <v>2.1352429999999999E-2</v>
      </c>
    </row>
    <row r="109" spans="19:26" ht="16" x14ac:dyDescent="0.2">
      <c r="S109" s="23">
        <v>42292</v>
      </c>
      <c r="T109" s="22">
        <v>14.4300003</v>
      </c>
      <c r="U109" s="22">
        <v>15.0600004</v>
      </c>
      <c r="V109" s="22">
        <v>14.0900002</v>
      </c>
      <c r="W109" s="22">
        <v>15.050000199999999</v>
      </c>
      <c r="X109" s="22">
        <v>9.2716665299999992</v>
      </c>
      <c r="Y109" s="22">
        <v>761900</v>
      </c>
      <c r="Z109" s="22">
        <v>4.8780459999999998E-2</v>
      </c>
    </row>
    <row r="110" spans="19:26" ht="16" x14ac:dyDescent="0.2">
      <c r="S110" s="23">
        <v>42293</v>
      </c>
      <c r="T110" s="22">
        <v>15.1300001</v>
      </c>
      <c r="U110" s="22">
        <v>15.1300001</v>
      </c>
      <c r="V110" s="22">
        <v>14.199999800000001</v>
      </c>
      <c r="W110" s="22">
        <v>14.54</v>
      </c>
      <c r="X110" s="22">
        <v>8.9574766199999996</v>
      </c>
      <c r="Y110" s="22">
        <v>540200</v>
      </c>
      <c r="Z110" s="22">
        <v>-3.3887100000000003E-2</v>
      </c>
    </row>
    <row r="111" spans="19:26" ht="16" x14ac:dyDescent="0.2">
      <c r="S111" s="23">
        <v>42296</v>
      </c>
      <c r="T111" s="22">
        <v>14.390000300000001</v>
      </c>
      <c r="U111" s="22">
        <v>14.899999599999999</v>
      </c>
      <c r="V111" s="22">
        <v>14.329999900000001</v>
      </c>
      <c r="W111" s="22">
        <v>14.600000400000001</v>
      </c>
      <c r="X111" s="22">
        <v>8.9944400800000004</v>
      </c>
      <c r="Y111" s="22">
        <v>475300</v>
      </c>
      <c r="Z111" s="22">
        <v>4.1265499999999997E-3</v>
      </c>
    </row>
    <row r="112" spans="19:26" ht="16" x14ac:dyDescent="0.2">
      <c r="S112" s="23">
        <v>42297</v>
      </c>
      <c r="T112" s="22">
        <v>14.54</v>
      </c>
      <c r="U112" s="22">
        <v>14.899999599999999</v>
      </c>
      <c r="V112" s="22">
        <v>14.350000400000001</v>
      </c>
      <c r="W112" s="22">
        <v>14.71</v>
      </c>
      <c r="X112" s="22">
        <v>9.0622062700000008</v>
      </c>
      <c r="Y112" s="22">
        <v>559100</v>
      </c>
      <c r="Z112" s="22">
        <v>7.5342300000000003E-3</v>
      </c>
    </row>
    <row r="113" spans="19:26" ht="16" x14ac:dyDescent="0.2">
      <c r="S113" s="23">
        <v>42298</v>
      </c>
      <c r="T113" s="22">
        <v>14.3800001</v>
      </c>
      <c r="U113" s="22">
        <v>14.6300001</v>
      </c>
      <c r="V113" s="22">
        <v>14.0200005</v>
      </c>
      <c r="W113" s="22">
        <v>14.21</v>
      </c>
      <c r="X113" s="22">
        <v>8.7541770900000007</v>
      </c>
      <c r="Y113" s="22">
        <v>1150800</v>
      </c>
      <c r="Z113" s="22">
        <v>-3.39905E-2</v>
      </c>
    </row>
    <row r="114" spans="19:26" ht="16" x14ac:dyDescent="0.2">
      <c r="S114" s="23">
        <v>42299</v>
      </c>
      <c r="T114" s="22">
        <v>14.2299995</v>
      </c>
      <c r="U114" s="22">
        <v>14.9899998</v>
      </c>
      <c r="V114" s="22">
        <v>14.1899996</v>
      </c>
      <c r="W114" s="22">
        <v>14.529999699999999</v>
      </c>
      <c r="X114" s="22">
        <v>8.9513149300000006</v>
      </c>
      <c r="Y114" s="22">
        <v>1049800</v>
      </c>
      <c r="Z114" s="22">
        <v>2.2519290000000001E-2</v>
      </c>
    </row>
    <row r="115" spans="19:26" ht="16" x14ac:dyDescent="0.2">
      <c r="S115" s="23">
        <v>42300</v>
      </c>
      <c r="T115" s="22">
        <v>14.7399998</v>
      </c>
      <c r="U115" s="22">
        <v>14.7399998</v>
      </c>
      <c r="V115" s="22">
        <v>13.7700005</v>
      </c>
      <c r="W115" s="22">
        <v>14.0200005</v>
      </c>
      <c r="X115" s="22">
        <v>8.6371240599999997</v>
      </c>
      <c r="Y115" s="22">
        <v>1034200</v>
      </c>
      <c r="Z115" s="22">
        <v>-3.5099999999999999E-2</v>
      </c>
    </row>
    <row r="116" spans="19:26" ht="16" x14ac:dyDescent="0.2">
      <c r="S116" s="23">
        <v>42303</v>
      </c>
      <c r="T116" s="22">
        <v>14.04</v>
      </c>
      <c r="U116" s="22">
        <v>14.2700005</v>
      </c>
      <c r="V116" s="22">
        <v>13.470000300000001</v>
      </c>
      <c r="W116" s="22">
        <v>13.5200005</v>
      </c>
      <c r="X116" s="22">
        <v>8.3290967899999995</v>
      </c>
      <c r="Y116" s="22">
        <v>1016100</v>
      </c>
      <c r="Z116" s="22">
        <v>-3.5663199999999999E-2</v>
      </c>
    </row>
    <row r="117" spans="19:26" ht="16" x14ac:dyDescent="0.2">
      <c r="S117" s="23">
        <v>42304</v>
      </c>
      <c r="T117" s="22">
        <v>13.5</v>
      </c>
      <c r="U117" s="22">
        <v>13.699999800000001</v>
      </c>
      <c r="V117" s="22">
        <v>13.0200005</v>
      </c>
      <c r="W117" s="22">
        <v>13.0600004</v>
      </c>
      <c r="X117" s="22">
        <v>8.0457115199999993</v>
      </c>
      <c r="Y117" s="22">
        <v>894800</v>
      </c>
      <c r="Z117" s="22">
        <v>-3.4023499999999998E-2</v>
      </c>
    </row>
    <row r="118" spans="19:26" ht="16" x14ac:dyDescent="0.2">
      <c r="S118" s="23">
        <v>42305</v>
      </c>
      <c r="T118" s="22">
        <v>13.04</v>
      </c>
      <c r="U118" s="22">
        <v>13.779999699999999</v>
      </c>
      <c r="V118" s="22">
        <v>12.9300003</v>
      </c>
      <c r="W118" s="22">
        <v>13.5699997</v>
      </c>
      <c r="X118" s="22">
        <v>8.3599023799999994</v>
      </c>
      <c r="Y118" s="22">
        <v>1451300</v>
      </c>
      <c r="Z118" s="22">
        <v>3.9050719999999997E-2</v>
      </c>
    </row>
    <row r="119" spans="19:26" ht="16" x14ac:dyDescent="0.2">
      <c r="S119" s="23">
        <v>42306</v>
      </c>
      <c r="T119" s="22">
        <v>13.649999599999999</v>
      </c>
      <c r="U119" s="22">
        <v>14.399999599999999</v>
      </c>
      <c r="V119" s="22">
        <v>13.5100002</v>
      </c>
      <c r="W119" s="22">
        <v>14.170000099999999</v>
      </c>
      <c r="X119" s="22">
        <v>8.7295322399999993</v>
      </c>
      <c r="Y119" s="22">
        <v>1373700</v>
      </c>
      <c r="Z119" s="22">
        <v>4.4214610000000001E-2</v>
      </c>
    </row>
    <row r="120" spans="19:26" ht="16" x14ac:dyDescent="0.2">
      <c r="S120" s="23">
        <v>42307</v>
      </c>
      <c r="T120" s="22">
        <v>14.140000300000001</v>
      </c>
      <c r="U120" s="22">
        <v>14.4799995</v>
      </c>
      <c r="V120" s="22">
        <v>14.0100002</v>
      </c>
      <c r="W120" s="22">
        <v>14.4399996</v>
      </c>
      <c r="X120" s="22">
        <v>8.8958692599999996</v>
      </c>
      <c r="Y120" s="22">
        <v>1034700</v>
      </c>
      <c r="Z120" s="22">
        <v>1.9054519999999998E-2</v>
      </c>
    </row>
    <row r="121" spans="19:26" ht="16" x14ac:dyDescent="0.2">
      <c r="S121" s="23">
        <v>42310</v>
      </c>
      <c r="T121" s="22">
        <v>14.420000099999999</v>
      </c>
      <c r="U121" s="22">
        <v>14.9899998</v>
      </c>
      <c r="V121" s="22">
        <v>14.1199999</v>
      </c>
      <c r="W121" s="22">
        <v>14.9799995</v>
      </c>
      <c r="X121" s="22">
        <v>9.2285394699999994</v>
      </c>
      <c r="Y121" s="22">
        <v>806700</v>
      </c>
      <c r="Z121" s="22">
        <v>3.7396029999999997E-2</v>
      </c>
    </row>
    <row r="122" spans="19:26" ht="16" x14ac:dyDescent="0.2">
      <c r="S122" s="23">
        <v>42311</v>
      </c>
      <c r="T122" s="22">
        <v>14.8800001</v>
      </c>
      <c r="U122" s="22">
        <v>15.329999900000001</v>
      </c>
      <c r="V122" s="22">
        <v>14.829999900000001</v>
      </c>
      <c r="W122" s="22">
        <v>15.0600004</v>
      </c>
      <c r="X122" s="22">
        <v>9.2778253599999996</v>
      </c>
      <c r="Y122" s="22">
        <v>810200</v>
      </c>
      <c r="Z122" s="22">
        <v>5.3405900000000001E-3</v>
      </c>
    </row>
    <row r="123" spans="19:26" ht="16" x14ac:dyDescent="0.2">
      <c r="S123" s="23">
        <v>42312</v>
      </c>
      <c r="T123" s="22">
        <v>15.2700005</v>
      </c>
      <c r="U123" s="22">
        <v>16.030000699999999</v>
      </c>
      <c r="V123" s="22">
        <v>15</v>
      </c>
      <c r="W123" s="22">
        <v>15.9899998</v>
      </c>
      <c r="X123" s="22">
        <v>9.8507575999999997</v>
      </c>
      <c r="Y123" s="22">
        <v>1130800</v>
      </c>
      <c r="Z123" s="22">
        <v>6.175286E-2</v>
      </c>
    </row>
    <row r="124" spans="19:26" ht="16" x14ac:dyDescent="0.2">
      <c r="S124" s="23">
        <v>42313</v>
      </c>
      <c r="T124" s="22">
        <v>15.890000300000001</v>
      </c>
      <c r="U124" s="22">
        <v>16.700000800000002</v>
      </c>
      <c r="V124" s="22">
        <v>15.71</v>
      </c>
      <c r="W124" s="22">
        <v>15.970000300000001</v>
      </c>
      <c r="X124" s="22">
        <v>9.8384380300000007</v>
      </c>
      <c r="Y124" s="22">
        <v>1170600</v>
      </c>
      <c r="Z124" s="22">
        <v>-1.2505999999999999E-3</v>
      </c>
    </row>
    <row r="125" spans="19:26" ht="16" x14ac:dyDescent="0.2">
      <c r="S125" s="23">
        <v>42314</v>
      </c>
      <c r="T125" s="22">
        <v>15.859999699999999</v>
      </c>
      <c r="U125" s="22">
        <v>16.709999100000001</v>
      </c>
      <c r="V125" s="22">
        <v>15.640000300000001</v>
      </c>
      <c r="W125" s="22">
        <v>16.459999100000001</v>
      </c>
      <c r="X125" s="22">
        <v>10.1403046</v>
      </c>
      <c r="Y125" s="22">
        <v>1251500</v>
      </c>
      <c r="Z125" s="22">
        <v>3.0682359999999999E-2</v>
      </c>
    </row>
    <row r="126" spans="19:26" ht="16" x14ac:dyDescent="0.2">
      <c r="S126" s="23">
        <v>42317</v>
      </c>
      <c r="T126" s="22">
        <v>16.399999600000001</v>
      </c>
      <c r="U126" s="22">
        <v>16.790000899999999</v>
      </c>
      <c r="V126" s="22">
        <v>16.1900005</v>
      </c>
      <c r="W126" s="22">
        <v>16.590000199999999</v>
      </c>
      <c r="X126" s="22">
        <v>10.220392199999999</v>
      </c>
      <c r="Y126" s="22">
        <v>1090900</v>
      </c>
      <c r="Z126" s="22">
        <v>7.8979500000000008E-3</v>
      </c>
    </row>
    <row r="127" spans="19:26" ht="16" x14ac:dyDescent="0.2">
      <c r="S127" s="23">
        <v>42318</v>
      </c>
      <c r="T127" s="22">
        <v>16.590000199999999</v>
      </c>
      <c r="U127" s="22">
        <v>16.6299992</v>
      </c>
      <c r="V127" s="22">
        <v>16.299999199999998</v>
      </c>
      <c r="W127" s="22">
        <v>16.5599995</v>
      </c>
      <c r="X127" s="22">
        <v>10.201911000000001</v>
      </c>
      <c r="Y127" s="22">
        <v>1353900</v>
      </c>
      <c r="Z127" s="22">
        <v>-1.8083000000000001E-3</v>
      </c>
    </row>
    <row r="128" spans="19:26" ht="16" x14ac:dyDescent="0.2">
      <c r="S128" s="23">
        <v>42319</v>
      </c>
      <c r="T128" s="22">
        <v>16.610000599999999</v>
      </c>
      <c r="U128" s="22">
        <v>16.610000599999999</v>
      </c>
      <c r="V128" s="22">
        <v>15.640000300000001</v>
      </c>
      <c r="W128" s="22">
        <v>15.850000400000001</v>
      </c>
      <c r="X128" s="22">
        <v>9.7645101499999996</v>
      </c>
      <c r="Y128" s="22">
        <v>1240300</v>
      </c>
      <c r="Z128" s="22">
        <v>-4.28744E-2</v>
      </c>
    </row>
    <row r="129" spans="19:26" ht="16" x14ac:dyDescent="0.2">
      <c r="S129" s="23">
        <v>42320</v>
      </c>
      <c r="T129" s="22">
        <v>15.79</v>
      </c>
      <c r="U129" s="22">
        <v>16.020000499999998</v>
      </c>
      <c r="V129" s="22">
        <v>14.720000300000001</v>
      </c>
      <c r="W129" s="22">
        <v>14.850000400000001</v>
      </c>
      <c r="X129" s="22">
        <v>9.1484537100000001</v>
      </c>
      <c r="Y129" s="22">
        <v>1424200</v>
      </c>
      <c r="Z129" s="22">
        <v>-6.3091400000000006E-2</v>
      </c>
    </row>
    <row r="130" spans="19:26" ht="16" x14ac:dyDescent="0.2">
      <c r="S130" s="23">
        <v>42321</v>
      </c>
      <c r="T130" s="22">
        <v>14.7600002</v>
      </c>
      <c r="U130" s="22">
        <v>15.1300001</v>
      </c>
      <c r="V130" s="22">
        <v>14.4799995</v>
      </c>
      <c r="W130" s="22">
        <v>14.6800003</v>
      </c>
      <c r="X130" s="22">
        <v>9.0437212000000002</v>
      </c>
      <c r="Y130" s="22">
        <v>778600</v>
      </c>
      <c r="Z130" s="22">
        <v>-1.1448099999999999E-2</v>
      </c>
    </row>
    <row r="131" spans="19:26" ht="16" x14ac:dyDescent="0.2">
      <c r="S131" s="23">
        <v>42324</v>
      </c>
      <c r="T131" s="22">
        <v>14.609999699999999</v>
      </c>
      <c r="U131" s="22">
        <v>15.470000300000001</v>
      </c>
      <c r="V131" s="22">
        <v>14.5200005</v>
      </c>
      <c r="W131" s="22">
        <v>15.46</v>
      </c>
      <c r="X131" s="22">
        <v>9.5242500299999993</v>
      </c>
      <c r="Y131" s="22">
        <v>503600</v>
      </c>
      <c r="Z131" s="22">
        <v>5.3133970000000003E-2</v>
      </c>
    </row>
    <row r="132" spans="19:26" ht="16" x14ac:dyDescent="0.2">
      <c r="S132" s="23">
        <v>42325</v>
      </c>
      <c r="T132" s="22">
        <v>15.46</v>
      </c>
      <c r="U132" s="22">
        <v>15.5900002</v>
      </c>
      <c r="V132" s="22">
        <v>14.350000400000001</v>
      </c>
      <c r="W132" s="22">
        <v>14.75</v>
      </c>
      <c r="X132" s="22">
        <v>9.0868473099999996</v>
      </c>
      <c r="Y132" s="22">
        <v>819500</v>
      </c>
      <c r="Z132" s="22">
        <v>-4.5925199999999999E-2</v>
      </c>
    </row>
    <row r="133" spans="19:26" ht="16" x14ac:dyDescent="0.2">
      <c r="S133" s="23">
        <v>42326</v>
      </c>
      <c r="T133" s="22">
        <v>14.800000199999999</v>
      </c>
      <c r="U133" s="22">
        <v>15.0100002</v>
      </c>
      <c r="V133" s="22">
        <v>14.2700005</v>
      </c>
      <c r="W133" s="22">
        <v>14.96</v>
      </c>
      <c r="X133" s="22">
        <v>9.2162199000000005</v>
      </c>
      <c r="Y133" s="22">
        <v>552600</v>
      </c>
      <c r="Z133" s="22">
        <v>1.4237349999999999E-2</v>
      </c>
    </row>
    <row r="134" spans="19:26" ht="16" x14ac:dyDescent="0.2">
      <c r="S134" s="23">
        <v>42327</v>
      </c>
      <c r="T134" s="22">
        <v>14.9300003</v>
      </c>
      <c r="U134" s="22">
        <v>15.0900002</v>
      </c>
      <c r="V134" s="22">
        <v>14.6800003</v>
      </c>
      <c r="W134" s="22">
        <v>14.8100004</v>
      </c>
      <c r="X134" s="22">
        <v>9.1238107700000004</v>
      </c>
      <c r="Y134" s="22">
        <v>1100100</v>
      </c>
      <c r="Z134" s="22">
        <v>-1.0026800000000001E-2</v>
      </c>
    </row>
    <row r="135" spans="19:26" ht="16" x14ac:dyDescent="0.2">
      <c r="S135" s="23">
        <v>42328</v>
      </c>
      <c r="T135" s="22">
        <v>14.9399996</v>
      </c>
      <c r="U135" s="22">
        <v>15</v>
      </c>
      <c r="V135" s="22">
        <v>14.170000099999999</v>
      </c>
      <c r="W135" s="22">
        <v>14.3199997</v>
      </c>
      <c r="X135" s="22">
        <v>8.8219404200000007</v>
      </c>
      <c r="Y135" s="22">
        <v>908200</v>
      </c>
      <c r="Z135" s="22">
        <v>-3.3085999999999997E-2</v>
      </c>
    </row>
    <row r="136" spans="19:26" ht="16" x14ac:dyDescent="0.2">
      <c r="S136" s="23">
        <v>42331</v>
      </c>
      <c r="T136" s="22">
        <v>14.29</v>
      </c>
      <c r="U136" s="22">
        <v>14.7700005</v>
      </c>
      <c r="V136" s="22">
        <v>14.04</v>
      </c>
      <c r="W136" s="22">
        <v>14.5</v>
      </c>
      <c r="X136" s="22">
        <v>8.9328336700000008</v>
      </c>
      <c r="Y136" s="22">
        <v>429300</v>
      </c>
      <c r="Z136" s="22">
        <v>1.257017E-2</v>
      </c>
    </row>
    <row r="137" spans="19:26" ht="16" x14ac:dyDescent="0.2">
      <c r="S137" s="23">
        <v>42332</v>
      </c>
      <c r="T137" s="22">
        <v>14.399999599999999</v>
      </c>
      <c r="U137" s="22">
        <v>15.46</v>
      </c>
      <c r="V137" s="22">
        <v>14.3400002</v>
      </c>
      <c r="W137" s="22">
        <v>15.29</v>
      </c>
      <c r="X137" s="22">
        <v>9.4195194200000003</v>
      </c>
      <c r="Y137" s="22">
        <v>645200</v>
      </c>
      <c r="Z137" s="22">
        <v>5.4482799999999998E-2</v>
      </c>
    </row>
    <row r="138" spans="19:26" ht="16" x14ac:dyDescent="0.2">
      <c r="S138" s="23">
        <v>42333</v>
      </c>
      <c r="T138" s="22">
        <v>15.21</v>
      </c>
      <c r="U138" s="22">
        <v>15.2700005</v>
      </c>
      <c r="V138" s="22">
        <v>14.5900002</v>
      </c>
      <c r="W138" s="22">
        <v>14.850000400000001</v>
      </c>
      <c r="X138" s="22">
        <v>9.1484537100000001</v>
      </c>
      <c r="Y138" s="22">
        <v>565000</v>
      </c>
      <c r="Z138" s="22">
        <v>-2.8777E-2</v>
      </c>
    </row>
    <row r="139" spans="19:26" ht="16" x14ac:dyDescent="0.2">
      <c r="S139" s="23">
        <v>42335</v>
      </c>
      <c r="T139" s="22">
        <v>14.4899998</v>
      </c>
      <c r="U139" s="22">
        <v>14.6199999</v>
      </c>
      <c r="V139" s="22">
        <v>13.5699997</v>
      </c>
      <c r="W139" s="22">
        <v>13.859999699999999</v>
      </c>
      <c r="X139" s="22">
        <v>8.6639938399999998</v>
      </c>
      <c r="Y139" s="22">
        <v>448300</v>
      </c>
      <c r="Z139" s="22">
        <v>-5.29554E-2</v>
      </c>
    </row>
    <row r="140" spans="19:26" ht="16" x14ac:dyDescent="0.2">
      <c r="S140" s="23">
        <v>42338</v>
      </c>
      <c r="T140" s="22">
        <v>13.8400002</v>
      </c>
      <c r="U140" s="22">
        <v>14.449999800000001</v>
      </c>
      <c r="V140" s="22">
        <v>13.7600002</v>
      </c>
      <c r="W140" s="22">
        <v>14.140000300000001</v>
      </c>
      <c r="X140" s="22">
        <v>8.83902359</v>
      </c>
      <c r="Y140" s="22">
        <v>558900</v>
      </c>
      <c r="Z140" s="22">
        <v>2.020197E-2</v>
      </c>
    </row>
    <row r="141" spans="19:26" ht="16" x14ac:dyDescent="0.2">
      <c r="S141" s="23">
        <v>42339</v>
      </c>
      <c r="T141" s="22">
        <v>14.5699997</v>
      </c>
      <c r="U141" s="22">
        <v>14.5699997</v>
      </c>
      <c r="V141" s="22">
        <v>13.8699999</v>
      </c>
      <c r="W141" s="22">
        <v>14.029999699999999</v>
      </c>
      <c r="X141" s="22">
        <v>8.7702617600000004</v>
      </c>
      <c r="Y141" s="22">
        <v>902000</v>
      </c>
      <c r="Z141" s="22">
        <v>-7.7793000000000003E-3</v>
      </c>
    </row>
    <row r="142" spans="19:26" ht="16" x14ac:dyDescent="0.2">
      <c r="S142" s="23">
        <v>42340</v>
      </c>
      <c r="T142" s="22">
        <v>13.9099998</v>
      </c>
      <c r="U142" s="22">
        <v>14.0900002</v>
      </c>
      <c r="V142" s="22">
        <v>12.9300003</v>
      </c>
      <c r="W142" s="22">
        <v>13.0900002</v>
      </c>
      <c r="X142" s="22">
        <v>8.18266296</v>
      </c>
      <c r="Y142" s="22">
        <v>968800</v>
      </c>
      <c r="Z142" s="22">
        <v>-6.6999000000000003E-2</v>
      </c>
    </row>
    <row r="143" spans="19:26" ht="16" x14ac:dyDescent="0.2">
      <c r="S143" s="23">
        <v>42341</v>
      </c>
      <c r="T143" s="22">
        <v>13.0900002</v>
      </c>
      <c r="U143" s="22">
        <v>13.800000199999999</v>
      </c>
      <c r="V143" s="22">
        <v>13.0100002</v>
      </c>
      <c r="W143" s="22">
        <v>13.079999900000001</v>
      </c>
      <c r="X143" s="22">
        <v>8.17641068</v>
      </c>
      <c r="Y143" s="22">
        <v>969400</v>
      </c>
      <c r="Z143" s="22">
        <v>-7.6409999999999998E-4</v>
      </c>
    </row>
    <row r="144" spans="19:26" ht="16" x14ac:dyDescent="0.2">
      <c r="S144" s="23">
        <v>42342</v>
      </c>
      <c r="T144" s="22">
        <v>13.050000199999999</v>
      </c>
      <c r="U144" s="22">
        <v>13.279999699999999</v>
      </c>
      <c r="V144" s="22">
        <v>12.5100002</v>
      </c>
      <c r="W144" s="22">
        <v>12.550000199999999</v>
      </c>
      <c r="X144" s="22">
        <v>7.8451032600000001</v>
      </c>
      <c r="Y144" s="22">
        <v>1123200</v>
      </c>
      <c r="Z144" s="22">
        <v>-4.0519899999999998E-2</v>
      </c>
    </row>
    <row r="145" spans="19:26" ht="16" x14ac:dyDescent="0.2">
      <c r="S145" s="23">
        <v>42345</v>
      </c>
      <c r="T145" s="22">
        <v>12.4899998</v>
      </c>
      <c r="U145" s="22">
        <v>12.4899998</v>
      </c>
      <c r="V145" s="22">
        <v>11.5900002</v>
      </c>
      <c r="W145" s="22">
        <v>11.949999800000001</v>
      </c>
      <c r="X145" s="22">
        <v>7.4700355500000004</v>
      </c>
      <c r="Y145" s="22">
        <v>1751900</v>
      </c>
      <c r="Z145" s="22">
        <v>-4.78091E-2</v>
      </c>
    </row>
    <row r="146" spans="19:26" ht="16" x14ac:dyDescent="0.2">
      <c r="S146" s="23">
        <v>42346</v>
      </c>
      <c r="T146" s="22">
        <v>11.8199997</v>
      </c>
      <c r="U146" s="22">
        <v>12.3199997</v>
      </c>
      <c r="V146" s="22">
        <v>11.5100002</v>
      </c>
      <c r="W146" s="22">
        <v>12.300000199999999</v>
      </c>
      <c r="X146" s="22">
        <v>7.6888251299999997</v>
      </c>
      <c r="Y146" s="22">
        <v>793700</v>
      </c>
      <c r="Z146" s="22">
        <v>2.9288959999999999E-2</v>
      </c>
    </row>
    <row r="147" spans="19:26" ht="16" x14ac:dyDescent="0.2">
      <c r="S147" s="23">
        <v>42347</v>
      </c>
      <c r="T147" s="22">
        <v>12.25</v>
      </c>
      <c r="U147" s="22">
        <v>13.3699999</v>
      </c>
      <c r="V147" s="22">
        <v>12.25</v>
      </c>
      <c r="W147" s="22">
        <v>13.149999599999999</v>
      </c>
      <c r="X147" s="22">
        <v>8.2201671600000008</v>
      </c>
      <c r="Y147" s="22">
        <v>753400</v>
      </c>
      <c r="Z147" s="22">
        <v>6.9105749999999994E-2</v>
      </c>
    </row>
    <row r="148" spans="19:26" ht="16" x14ac:dyDescent="0.2">
      <c r="S148" s="23">
        <v>42348</v>
      </c>
      <c r="T148" s="22">
        <v>13.199999800000001</v>
      </c>
      <c r="U148" s="22">
        <v>13.54</v>
      </c>
      <c r="V148" s="22">
        <v>12.800000199999999</v>
      </c>
      <c r="W148" s="22">
        <v>13</v>
      </c>
      <c r="X148" s="22">
        <v>8.1264009500000007</v>
      </c>
      <c r="Y148" s="22">
        <v>664800</v>
      </c>
      <c r="Z148" s="22">
        <v>-1.14068E-2</v>
      </c>
    </row>
    <row r="149" spans="19:26" ht="16" x14ac:dyDescent="0.2">
      <c r="S149" s="23">
        <v>42349</v>
      </c>
      <c r="T149" s="22">
        <v>12.71</v>
      </c>
      <c r="U149" s="22">
        <v>12.829999900000001</v>
      </c>
      <c r="V149" s="22">
        <v>12.21</v>
      </c>
      <c r="W149" s="22">
        <v>12.29</v>
      </c>
      <c r="X149" s="22">
        <v>7.6825761799999999</v>
      </c>
      <c r="Y149" s="22">
        <v>755300</v>
      </c>
      <c r="Z149" s="22">
        <v>-5.4615200000000003E-2</v>
      </c>
    </row>
    <row r="150" spans="19:26" ht="16" x14ac:dyDescent="0.2">
      <c r="S150" s="23">
        <v>42352</v>
      </c>
      <c r="T150" s="22">
        <v>12.3100004</v>
      </c>
      <c r="U150" s="22">
        <v>12.4099998</v>
      </c>
      <c r="V150" s="22">
        <v>11.350000400000001</v>
      </c>
      <c r="W150" s="22">
        <v>11.7299995</v>
      </c>
      <c r="X150" s="22">
        <v>7.3325152400000002</v>
      </c>
      <c r="Y150" s="22">
        <v>1092900</v>
      </c>
      <c r="Z150" s="22">
        <v>-4.5565599999999998E-2</v>
      </c>
    </row>
    <row r="151" spans="19:26" ht="16" x14ac:dyDescent="0.2">
      <c r="S151" s="23">
        <v>42353</v>
      </c>
      <c r="T151" s="22">
        <v>11.8100004</v>
      </c>
      <c r="U151" s="22">
        <v>12.5200005</v>
      </c>
      <c r="V151" s="22">
        <v>11.7399998</v>
      </c>
      <c r="W151" s="22">
        <v>12.4300003</v>
      </c>
      <c r="X151" s="22">
        <v>7.7700915300000002</v>
      </c>
      <c r="Y151" s="22">
        <v>670300</v>
      </c>
      <c r="Z151" s="22">
        <v>5.9676149999999997E-2</v>
      </c>
    </row>
    <row r="152" spans="19:26" ht="16" x14ac:dyDescent="0.2">
      <c r="S152" s="23">
        <v>42354</v>
      </c>
      <c r="T152" s="22">
        <v>12.609999699999999</v>
      </c>
      <c r="U152" s="22">
        <v>13.970000300000001</v>
      </c>
      <c r="V152" s="22">
        <v>12.449999800000001</v>
      </c>
      <c r="W152" s="22">
        <v>13.949999800000001</v>
      </c>
      <c r="X152" s="22">
        <v>8.7202529900000005</v>
      </c>
      <c r="Y152" s="22">
        <v>1583400</v>
      </c>
      <c r="Z152" s="22">
        <v>0.12228446</v>
      </c>
    </row>
    <row r="153" spans="19:26" ht="16" x14ac:dyDescent="0.2">
      <c r="S153" s="23">
        <v>42355</v>
      </c>
      <c r="T153" s="22">
        <v>14</v>
      </c>
      <c r="U153" s="22">
        <v>14.699999800000001</v>
      </c>
      <c r="V153" s="22">
        <v>14</v>
      </c>
      <c r="W153" s="22">
        <v>14.579999900000001</v>
      </c>
      <c r="X153" s="22">
        <v>9.1140689800000008</v>
      </c>
      <c r="Y153" s="22">
        <v>1606500</v>
      </c>
      <c r="Z153" s="22">
        <v>4.5161069999999998E-2</v>
      </c>
    </row>
    <row r="154" spans="19:26" ht="16" x14ac:dyDescent="0.2">
      <c r="S154" s="23">
        <v>42356</v>
      </c>
      <c r="T154" s="22">
        <v>14.550000199999999</v>
      </c>
      <c r="U154" s="22">
        <v>14.920000099999999</v>
      </c>
      <c r="V154" s="22">
        <v>14</v>
      </c>
      <c r="W154" s="22">
        <v>14.7700005</v>
      </c>
      <c r="X154" s="22">
        <v>9.2328414900000002</v>
      </c>
      <c r="Y154" s="22">
        <v>1536300</v>
      </c>
      <c r="Z154" s="22">
        <v>1.303178E-2</v>
      </c>
    </row>
    <row r="155" spans="19:26" ht="16" x14ac:dyDescent="0.2">
      <c r="S155" s="23">
        <v>42359</v>
      </c>
      <c r="T155" s="22">
        <v>14.779999699999999</v>
      </c>
      <c r="U155" s="22">
        <v>14.890000300000001</v>
      </c>
      <c r="V155" s="22">
        <v>14.0200005</v>
      </c>
      <c r="W155" s="22">
        <v>14.3699999</v>
      </c>
      <c r="X155" s="22">
        <v>8.9828014399999994</v>
      </c>
      <c r="Y155" s="22">
        <v>1243700</v>
      </c>
      <c r="Z155" s="22">
        <v>-2.7081600000000001E-2</v>
      </c>
    </row>
    <row r="156" spans="19:26" ht="16" x14ac:dyDescent="0.2">
      <c r="S156" s="23">
        <v>42360</v>
      </c>
      <c r="T156" s="22">
        <v>14.390000300000001</v>
      </c>
      <c r="U156" s="22">
        <v>15.109999699999999</v>
      </c>
      <c r="V156" s="22">
        <v>14.199999800000001</v>
      </c>
      <c r="W156" s="22">
        <v>14.850000400000001</v>
      </c>
      <c r="X156" s="22">
        <v>9.2828512199999995</v>
      </c>
      <c r="Y156" s="22">
        <v>758400</v>
      </c>
      <c r="Z156" s="22">
        <v>3.34027E-2</v>
      </c>
    </row>
    <row r="157" spans="19:26" ht="16" x14ac:dyDescent="0.2">
      <c r="S157" s="23">
        <v>42361</v>
      </c>
      <c r="T157" s="22">
        <v>15.050000199999999</v>
      </c>
      <c r="U157" s="22">
        <v>15.5600004</v>
      </c>
      <c r="V157" s="22">
        <v>14.899999599999999</v>
      </c>
      <c r="W157" s="22">
        <v>15.170000099999999</v>
      </c>
      <c r="X157" s="22">
        <v>9.4828853599999992</v>
      </c>
      <c r="Y157" s="22">
        <v>801800</v>
      </c>
      <c r="Z157" s="22">
        <v>2.154878E-2</v>
      </c>
    </row>
    <row r="158" spans="19:26" ht="16" x14ac:dyDescent="0.2">
      <c r="S158" s="23">
        <v>42362</v>
      </c>
      <c r="T158" s="22">
        <v>15.149999599999999</v>
      </c>
      <c r="U158" s="22">
        <v>15.390000300000001</v>
      </c>
      <c r="V158" s="22">
        <v>14.890000300000001</v>
      </c>
      <c r="W158" s="22">
        <v>15.100000400000001</v>
      </c>
      <c r="X158" s="22">
        <v>9.4391288800000002</v>
      </c>
      <c r="Y158" s="22">
        <v>212800</v>
      </c>
      <c r="Z158" s="22">
        <v>-4.6143E-3</v>
      </c>
    </row>
    <row r="159" spans="19:26" ht="16" x14ac:dyDescent="0.2">
      <c r="S159" s="23">
        <v>42366</v>
      </c>
      <c r="T159" s="22">
        <v>15.0100002</v>
      </c>
      <c r="U159" s="22">
        <v>15.2600002</v>
      </c>
      <c r="V159" s="22">
        <v>14.8400002</v>
      </c>
      <c r="W159" s="22">
        <v>14.9799995</v>
      </c>
      <c r="X159" s="22">
        <v>9.3641138099999992</v>
      </c>
      <c r="Y159" s="22">
        <v>478300</v>
      </c>
      <c r="Z159" s="22">
        <v>-7.9471999999999998E-3</v>
      </c>
    </row>
    <row r="160" spans="19:26" ht="16" x14ac:dyDescent="0.2">
      <c r="S160" s="23">
        <v>42367</v>
      </c>
      <c r="T160" s="22">
        <v>15.0600004</v>
      </c>
      <c r="U160" s="22">
        <v>15.25</v>
      </c>
      <c r="V160" s="22">
        <v>14.5</v>
      </c>
      <c r="W160" s="22">
        <v>14.7399998</v>
      </c>
      <c r="X160" s="22">
        <v>9.2140874900000007</v>
      </c>
      <c r="Y160" s="22">
        <v>590600</v>
      </c>
      <c r="Z160" s="22">
        <v>-1.6021400000000002E-2</v>
      </c>
    </row>
    <row r="161" spans="19:26" ht="16" x14ac:dyDescent="0.2">
      <c r="S161" s="23">
        <v>42368</v>
      </c>
      <c r="T161" s="22">
        <v>14.640000300000001</v>
      </c>
      <c r="U161" s="22">
        <v>14.9099998</v>
      </c>
      <c r="V161" s="22">
        <v>14.4099998</v>
      </c>
      <c r="W161" s="22">
        <v>14.5200005</v>
      </c>
      <c r="X161" s="22">
        <v>9.0765638400000004</v>
      </c>
      <c r="Y161" s="22">
        <v>449500</v>
      </c>
      <c r="Z161" s="22">
        <v>-1.49254E-2</v>
      </c>
    </row>
    <row r="162" spans="19:26" ht="16" x14ac:dyDescent="0.2">
      <c r="S162" s="23">
        <v>42369</v>
      </c>
      <c r="T162" s="22">
        <v>14.4300003</v>
      </c>
      <c r="U162" s="22">
        <v>14.9099998</v>
      </c>
      <c r="V162" s="22">
        <v>13.9899998</v>
      </c>
      <c r="W162" s="22">
        <v>14.7600002</v>
      </c>
      <c r="X162" s="22">
        <v>9.2265920599999998</v>
      </c>
      <c r="Y162" s="22">
        <v>661400</v>
      </c>
      <c r="Z162" s="22">
        <v>1.6529189999999999E-2</v>
      </c>
    </row>
    <row r="163" spans="19:26" ht="16" x14ac:dyDescent="0.2">
      <c r="S163" s="23">
        <v>42373</v>
      </c>
      <c r="T163" s="22">
        <v>14.5699997</v>
      </c>
      <c r="U163" s="22">
        <v>14.920000099999999</v>
      </c>
      <c r="V163" s="22">
        <v>14.329999900000001</v>
      </c>
      <c r="W163" s="22">
        <v>14.8199997</v>
      </c>
      <c r="X163" s="22">
        <v>9.2640981700000005</v>
      </c>
      <c r="Y163" s="22">
        <v>686600</v>
      </c>
      <c r="Z163" s="22">
        <v>4.065E-3</v>
      </c>
    </row>
    <row r="164" spans="19:26" ht="16" x14ac:dyDescent="0.2">
      <c r="S164" s="23">
        <v>42374</v>
      </c>
      <c r="T164" s="22">
        <v>14.8699999</v>
      </c>
      <c r="U164" s="22">
        <v>14.890000300000001</v>
      </c>
      <c r="V164" s="22">
        <v>14.300000199999999</v>
      </c>
      <c r="W164" s="22">
        <v>14.5</v>
      </c>
      <c r="X164" s="22">
        <v>9.0640640300000008</v>
      </c>
      <c r="Y164" s="22">
        <v>525500</v>
      </c>
      <c r="Z164" s="22">
        <v>-2.1592400000000001E-2</v>
      </c>
    </row>
    <row r="165" spans="19:26" ht="16" x14ac:dyDescent="0.2">
      <c r="S165" s="23">
        <v>42375</v>
      </c>
      <c r="T165" s="22">
        <v>14.300000199999999</v>
      </c>
      <c r="U165" s="22">
        <v>14.3699999</v>
      </c>
      <c r="V165" s="22">
        <v>13.8199997</v>
      </c>
      <c r="W165" s="22">
        <v>13.949999800000001</v>
      </c>
      <c r="X165" s="22">
        <v>8.7202529900000005</v>
      </c>
      <c r="Y165" s="22">
        <v>740100</v>
      </c>
      <c r="Z165" s="22">
        <v>-3.7931199999999998E-2</v>
      </c>
    </row>
    <row r="166" spans="19:26" ht="16" x14ac:dyDescent="0.2">
      <c r="S166" s="23">
        <v>42376</v>
      </c>
      <c r="T166" s="22">
        <v>13.5900002</v>
      </c>
      <c r="U166" s="22">
        <v>13.75</v>
      </c>
      <c r="V166" s="22">
        <v>13.1899996</v>
      </c>
      <c r="W166" s="22">
        <v>13.21</v>
      </c>
      <c r="X166" s="22">
        <v>8.2576732600000007</v>
      </c>
      <c r="Y166" s="22">
        <v>409900</v>
      </c>
      <c r="Z166" s="22">
        <v>-5.3046599999999999E-2</v>
      </c>
    </row>
    <row r="167" spans="19:26" ht="16" x14ac:dyDescent="0.2">
      <c r="S167" s="23">
        <v>42377</v>
      </c>
      <c r="T167" s="22">
        <v>13.3100004</v>
      </c>
      <c r="U167" s="22">
        <v>13.399999599999999</v>
      </c>
      <c r="V167" s="22">
        <v>13.100000400000001</v>
      </c>
      <c r="W167" s="22">
        <v>13.1899996</v>
      </c>
      <c r="X167" s="22">
        <v>8.2451725000000007</v>
      </c>
      <c r="Y167" s="22">
        <v>652500</v>
      </c>
      <c r="Z167" s="22">
        <v>-1.5138E-3</v>
      </c>
    </row>
    <row r="168" spans="19:26" ht="16" x14ac:dyDescent="0.2">
      <c r="S168" s="23">
        <v>42380</v>
      </c>
      <c r="T168" s="22">
        <v>13.149999599999999</v>
      </c>
      <c r="U168" s="22">
        <v>13.5900002</v>
      </c>
      <c r="V168" s="22">
        <v>13.149999599999999</v>
      </c>
      <c r="W168" s="22">
        <v>13.5</v>
      </c>
      <c r="X168" s="22">
        <v>8.4389543499999995</v>
      </c>
      <c r="Y168" s="22">
        <v>483300</v>
      </c>
      <c r="Z168" s="22">
        <v>2.3502459999999999E-2</v>
      </c>
    </row>
    <row r="169" spans="19:26" ht="16" x14ac:dyDescent="0.2">
      <c r="S169" s="23">
        <v>42381</v>
      </c>
      <c r="T169" s="22">
        <v>13.609999699999999</v>
      </c>
      <c r="U169" s="22">
        <v>13.6300001</v>
      </c>
      <c r="V169" s="22">
        <v>12.640000300000001</v>
      </c>
      <c r="W169" s="22">
        <v>13.0100002</v>
      </c>
      <c r="X169" s="22">
        <v>8.1326532399999998</v>
      </c>
      <c r="Y169" s="22">
        <v>579700</v>
      </c>
      <c r="Z169" s="22">
        <v>-3.6296099999999998E-2</v>
      </c>
    </row>
    <row r="170" spans="19:26" ht="16" x14ac:dyDescent="0.2">
      <c r="S170" s="23">
        <v>42382</v>
      </c>
      <c r="T170" s="22">
        <v>13.0100002</v>
      </c>
      <c r="U170" s="22">
        <v>13.329999900000001</v>
      </c>
      <c r="V170" s="22">
        <v>12.199999800000001</v>
      </c>
      <c r="W170" s="22">
        <v>12.4899998</v>
      </c>
      <c r="X170" s="22">
        <v>7.8075962099999998</v>
      </c>
      <c r="Y170" s="22">
        <v>559500</v>
      </c>
      <c r="Z170" s="22">
        <v>-3.9969400000000002E-2</v>
      </c>
    </row>
    <row r="171" spans="19:26" ht="16" x14ac:dyDescent="0.2">
      <c r="S171" s="23">
        <v>42383</v>
      </c>
      <c r="T171" s="22">
        <v>12.54</v>
      </c>
      <c r="U171" s="22">
        <v>13.4399996</v>
      </c>
      <c r="V171" s="22">
        <v>12.449999800000001</v>
      </c>
      <c r="W171" s="22">
        <v>13.2600002</v>
      </c>
      <c r="X171" s="22">
        <v>8.2889289900000005</v>
      </c>
      <c r="Y171" s="22">
        <v>1045700</v>
      </c>
      <c r="Z171" s="22">
        <v>6.1649290000000002E-2</v>
      </c>
    </row>
    <row r="172" spans="19:26" ht="16" x14ac:dyDescent="0.2">
      <c r="S172" s="23">
        <v>42384</v>
      </c>
      <c r="T172" s="22">
        <v>12.8400002</v>
      </c>
      <c r="U172" s="22">
        <v>13.050000199999999</v>
      </c>
      <c r="V172" s="22">
        <v>11.970000300000001</v>
      </c>
      <c r="W172" s="22">
        <v>12.640000300000001</v>
      </c>
      <c r="X172" s="22">
        <v>7.9013628999999996</v>
      </c>
      <c r="Y172" s="22">
        <v>784700</v>
      </c>
      <c r="Z172" s="22">
        <v>-4.6757100000000003E-2</v>
      </c>
    </row>
    <row r="173" spans="19:26" ht="16" x14ac:dyDescent="0.2">
      <c r="S173" s="23">
        <v>42388</v>
      </c>
      <c r="T173" s="22">
        <v>12.7399998</v>
      </c>
      <c r="U173" s="22">
        <v>12.779999699999999</v>
      </c>
      <c r="V173" s="22">
        <v>12.100000400000001</v>
      </c>
      <c r="W173" s="22">
        <v>12.1300001</v>
      </c>
      <c r="X173" s="22">
        <v>7.5825595899999998</v>
      </c>
      <c r="Y173" s="22">
        <v>613000</v>
      </c>
      <c r="Z173" s="22">
        <v>-4.0347899999999999E-2</v>
      </c>
    </row>
    <row r="174" spans="19:26" ht="16" x14ac:dyDescent="0.2">
      <c r="S174" s="23">
        <v>42389</v>
      </c>
      <c r="T174" s="22">
        <v>11.970000300000001</v>
      </c>
      <c r="U174" s="22">
        <v>12.109999699999999</v>
      </c>
      <c r="V174" s="22">
        <v>10.899999599999999</v>
      </c>
      <c r="W174" s="22">
        <v>11.970000300000001</v>
      </c>
      <c r="X174" s="22">
        <v>7.4825420400000002</v>
      </c>
      <c r="Y174" s="22">
        <v>989500</v>
      </c>
      <c r="Z174" s="22">
        <v>-1.3190500000000001E-2</v>
      </c>
    </row>
    <row r="175" spans="19:26" ht="16" x14ac:dyDescent="0.2">
      <c r="S175" s="23">
        <v>42390</v>
      </c>
      <c r="T175" s="22">
        <v>11.920000099999999</v>
      </c>
      <c r="U175" s="22">
        <v>12.720000300000001</v>
      </c>
      <c r="V175" s="22">
        <v>11.850000400000001</v>
      </c>
      <c r="W175" s="22">
        <v>12.3699999</v>
      </c>
      <c r="X175" s="22">
        <v>7.7325844799999999</v>
      </c>
      <c r="Y175" s="22">
        <v>570400</v>
      </c>
      <c r="Z175" s="22">
        <v>3.341678E-2</v>
      </c>
    </row>
    <row r="176" spans="19:26" ht="16" x14ac:dyDescent="0.2">
      <c r="S176" s="23">
        <v>42391</v>
      </c>
      <c r="T176" s="22">
        <v>12.6899996</v>
      </c>
      <c r="U176" s="22">
        <v>12.899999599999999</v>
      </c>
      <c r="V176" s="22">
        <v>12.4799995</v>
      </c>
      <c r="W176" s="22">
        <v>12.850000400000001</v>
      </c>
      <c r="X176" s="22">
        <v>8.0326356899999993</v>
      </c>
      <c r="Y176" s="22">
        <v>598500</v>
      </c>
      <c r="Z176" s="22">
        <v>3.8803480000000001E-2</v>
      </c>
    </row>
    <row r="177" spans="19:26" ht="16" x14ac:dyDescent="0.2">
      <c r="S177" s="23">
        <v>42394</v>
      </c>
      <c r="T177" s="22">
        <v>12.699999800000001</v>
      </c>
      <c r="U177" s="22">
        <v>12.7700005</v>
      </c>
      <c r="V177" s="22">
        <v>11.9799995</v>
      </c>
      <c r="W177" s="22">
        <v>12.170000099999999</v>
      </c>
      <c r="X177" s="22">
        <v>7.6075620700000002</v>
      </c>
      <c r="Y177" s="22">
        <v>392600</v>
      </c>
      <c r="Z177" s="22">
        <v>-5.2918300000000001E-2</v>
      </c>
    </row>
    <row r="178" spans="19:26" ht="16" x14ac:dyDescent="0.2">
      <c r="S178" s="23">
        <v>42395</v>
      </c>
      <c r="T178" s="22">
        <v>12.2600002</v>
      </c>
      <c r="U178" s="22">
        <v>12.699999800000001</v>
      </c>
      <c r="V178" s="22">
        <v>12.079999900000001</v>
      </c>
      <c r="W178" s="22">
        <v>12.600000400000001</v>
      </c>
      <c r="X178" s="22">
        <v>7.8763594599999998</v>
      </c>
      <c r="Y178" s="22">
        <v>458100</v>
      </c>
      <c r="Z178" s="22">
        <v>3.5332919999999997E-2</v>
      </c>
    </row>
    <row r="179" spans="19:26" ht="16" x14ac:dyDescent="0.2">
      <c r="S179" s="23">
        <v>42396</v>
      </c>
      <c r="T179" s="22">
        <v>12.5100002</v>
      </c>
      <c r="U179" s="22">
        <v>13.079999900000001</v>
      </c>
      <c r="V179" s="22">
        <v>12.1800003</v>
      </c>
      <c r="W179" s="22">
        <v>13</v>
      </c>
      <c r="X179" s="22">
        <v>8.1264009500000007</v>
      </c>
      <c r="Y179" s="22">
        <v>607200</v>
      </c>
      <c r="Z179" s="22">
        <v>3.1745820000000001E-2</v>
      </c>
    </row>
    <row r="180" spans="19:26" ht="16" x14ac:dyDescent="0.2">
      <c r="S180" s="23">
        <v>42397</v>
      </c>
      <c r="T180" s="22">
        <v>13.1800003</v>
      </c>
      <c r="U180" s="22">
        <v>13.699999800000001</v>
      </c>
      <c r="V180" s="22">
        <v>13.0200005</v>
      </c>
      <c r="W180" s="22">
        <v>13.2600002</v>
      </c>
      <c r="X180" s="22">
        <v>8.2889289900000005</v>
      </c>
      <c r="Y180" s="22">
        <v>545100</v>
      </c>
      <c r="Z180" s="22">
        <v>0.02</v>
      </c>
    </row>
    <row r="181" spans="19:26" ht="16" x14ac:dyDescent="0.2">
      <c r="S181" s="23">
        <v>42398</v>
      </c>
      <c r="T181" s="22">
        <v>13.279999699999999</v>
      </c>
      <c r="U181" s="22">
        <v>13.850000400000001</v>
      </c>
      <c r="V181" s="22">
        <v>12.609999699999999</v>
      </c>
      <c r="W181" s="22">
        <v>13.2399998</v>
      </c>
      <c r="X181" s="22">
        <v>8.2764272699999992</v>
      </c>
      <c r="Y181" s="22">
        <v>887500</v>
      </c>
      <c r="Z181" s="22">
        <v>-1.5081999999999999E-3</v>
      </c>
    </row>
    <row r="182" spans="19:26" ht="16" x14ac:dyDescent="0.2">
      <c r="S182" s="23">
        <v>42401</v>
      </c>
      <c r="T182" s="22">
        <v>13.0900002</v>
      </c>
      <c r="U182" s="22">
        <v>13.279999699999999</v>
      </c>
      <c r="V182" s="22">
        <v>12.7399998</v>
      </c>
      <c r="W182" s="22">
        <v>13.04</v>
      </c>
      <c r="X182" s="22">
        <v>8.1514062900000006</v>
      </c>
      <c r="Y182" s="22">
        <v>606000</v>
      </c>
      <c r="Z182" s="22">
        <v>-1.51057E-2</v>
      </c>
    </row>
    <row r="183" spans="19:26" ht="16" x14ac:dyDescent="0.2">
      <c r="S183" s="23">
        <v>42402</v>
      </c>
      <c r="T183" s="22">
        <v>12.8699999</v>
      </c>
      <c r="U183" s="22">
        <v>13.5200005</v>
      </c>
      <c r="V183" s="22">
        <v>12.5</v>
      </c>
      <c r="W183" s="22">
        <v>13.3100004</v>
      </c>
      <c r="X183" s="22">
        <v>8.3201866100000004</v>
      </c>
      <c r="Y183" s="22">
        <v>737100</v>
      </c>
      <c r="Z183" s="22">
        <v>2.0705669999999999E-2</v>
      </c>
    </row>
    <row r="184" spans="19:26" ht="16" x14ac:dyDescent="0.2">
      <c r="S184" s="23">
        <v>42403</v>
      </c>
      <c r="T184" s="22">
        <v>13.329999900000001</v>
      </c>
      <c r="U184" s="22">
        <v>13.600000400000001</v>
      </c>
      <c r="V184" s="22">
        <v>12.9300003</v>
      </c>
      <c r="W184" s="22">
        <v>13.170000099999999</v>
      </c>
      <c r="X184" s="22">
        <v>8.2326707799999994</v>
      </c>
      <c r="Y184" s="22">
        <v>435800</v>
      </c>
      <c r="Z184" s="22">
        <v>-1.05185E-2</v>
      </c>
    </row>
    <row r="185" spans="19:26" ht="16" x14ac:dyDescent="0.2">
      <c r="S185" s="23">
        <v>42404</v>
      </c>
      <c r="T185" s="22">
        <v>13.149999599999999</v>
      </c>
      <c r="U185" s="22">
        <v>13.71</v>
      </c>
      <c r="V185" s="22">
        <v>12.850000400000001</v>
      </c>
      <c r="W185" s="22">
        <v>12.9300003</v>
      </c>
      <c r="X185" s="22">
        <v>8.0826454200000004</v>
      </c>
      <c r="Y185" s="22">
        <v>700800</v>
      </c>
      <c r="Z185" s="22">
        <v>-1.8223199999999998E-2</v>
      </c>
    </row>
    <row r="186" spans="19:26" ht="16" x14ac:dyDescent="0.2">
      <c r="S186" s="23">
        <v>42405</v>
      </c>
      <c r="T186" s="22">
        <v>12.8100004</v>
      </c>
      <c r="U186" s="22">
        <v>13.100000400000001</v>
      </c>
      <c r="V186" s="22">
        <v>12.3400002</v>
      </c>
      <c r="W186" s="22">
        <v>12.350000400000001</v>
      </c>
      <c r="X186" s="22">
        <v>7.7200827600000004</v>
      </c>
      <c r="Y186" s="22">
        <v>598500</v>
      </c>
      <c r="Z186" s="22">
        <v>-4.4856899999999998E-2</v>
      </c>
    </row>
    <row r="187" spans="19:26" ht="16" x14ac:dyDescent="0.2">
      <c r="S187" s="23">
        <v>42408</v>
      </c>
      <c r="T187" s="22">
        <v>12.1899996</v>
      </c>
      <c r="U187" s="22">
        <v>12.6199999</v>
      </c>
      <c r="V187" s="22">
        <v>11.800000199999999</v>
      </c>
      <c r="W187" s="22">
        <v>12.100000400000001</v>
      </c>
      <c r="X187" s="22">
        <v>7.5638041500000002</v>
      </c>
      <c r="Y187" s="22">
        <v>812200</v>
      </c>
      <c r="Z187" s="22">
        <v>-2.02431E-2</v>
      </c>
    </row>
    <row r="188" spans="19:26" ht="16" x14ac:dyDescent="0.2">
      <c r="S188" s="23">
        <v>42409</v>
      </c>
      <c r="T188" s="22">
        <v>11.9399996</v>
      </c>
      <c r="U188" s="22">
        <v>12.140000300000001</v>
      </c>
      <c r="V188" s="22">
        <v>11.449999800000001</v>
      </c>
      <c r="W188" s="22">
        <v>12.0900002</v>
      </c>
      <c r="X188" s="22">
        <v>7.5575518600000002</v>
      </c>
      <c r="Y188" s="22">
        <v>521300</v>
      </c>
      <c r="Z188" s="22">
        <v>-8.2660000000000003E-4</v>
      </c>
    </row>
    <row r="189" spans="19:26" ht="16" x14ac:dyDescent="0.2">
      <c r="S189" s="23">
        <v>42410</v>
      </c>
      <c r="T189" s="22">
        <v>12.029999699999999</v>
      </c>
      <c r="U189" s="22">
        <v>12.029999699999999</v>
      </c>
      <c r="V189" s="22">
        <v>11.5600004</v>
      </c>
      <c r="W189" s="22">
        <v>11.670000099999999</v>
      </c>
      <c r="X189" s="22">
        <v>7.2950086599999997</v>
      </c>
      <c r="Y189" s="22">
        <v>531800</v>
      </c>
      <c r="Z189" s="22">
        <v>-3.4739199999999998E-2</v>
      </c>
    </row>
    <row r="190" spans="19:26" ht="16" x14ac:dyDescent="0.2">
      <c r="S190" s="23">
        <v>42411</v>
      </c>
      <c r="T190" s="22">
        <v>11.4399996</v>
      </c>
      <c r="U190" s="22">
        <v>11.46</v>
      </c>
      <c r="V190" s="22">
        <v>10.6899996</v>
      </c>
      <c r="W190" s="22">
        <v>10.890000300000001</v>
      </c>
      <c r="X190" s="22">
        <v>6.8074231100000002</v>
      </c>
      <c r="Y190" s="22">
        <v>460100</v>
      </c>
      <c r="Z190" s="22">
        <v>-6.68382E-2</v>
      </c>
    </row>
    <row r="191" spans="19:26" ht="16" x14ac:dyDescent="0.2">
      <c r="S191" s="23">
        <v>42412</v>
      </c>
      <c r="T191" s="22">
        <v>10.949999800000001</v>
      </c>
      <c r="U191" s="22">
        <v>11.2700005</v>
      </c>
      <c r="V191" s="22">
        <v>10.4899998</v>
      </c>
      <c r="W191" s="22">
        <v>11.109999699999999</v>
      </c>
      <c r="X191" s="22">
        <v>6.94494772</v>
      </c>
      <c r="Y191" s="22">
        <v>623400</v>
      </c>
      <c r="Z191" s="22">
        <v>2.0202149999999999E-2</v>
      </c>
    </row>
    <row r="192" spans="19:26" ht="16" x14ac:dyDescent="0.2">
      <c r="S192" s="23">
        <v>42416</v>
      </c>
      <c r="T192" s="22">
        <v>11.329999900000001</v>
      </c>
      <c r="U192" s="22">
        <v>12.100000400000001</v>
      </c>
      <c r="V192" s="22">
        <v>11.300000199999999</v>
      </c>
      <c r="W192" s="22">
        <v>11.609999699999999</v>
      </c>
      <c r="X192" s="22">
        <v>7.2575011299999996</v>
      </c>
      <c r="Y192" s="22">
        <v>768600</v>
      </c>
      <c r="Z192" s="22">
        <v>4.5004429999999998E-2</v>
      </c>
    </row>
    <row r="193" spans="19:26" ht="16" x14ac:dyDescent="0.2">
      <c r="S193" s="23">
        <v>42417</v>
      </c>
      <c r="T193" s="22">
        <v>11.8800001</v>
      </c>
      <c r="U193" s="22">
        <v>13.079999900000001</v>
      </c>
      <c r="V193" s="22">
        <v>11.829999900000001</v>
      </c>
      <c r="W193" s="22">
        <v>12.7299995</v>
      </c>
      <c r="X193" s="22">
        <v>7.9576239600000003</v>
      </c>
      <c r="Y193" s="22">
        <v>659100</v>
      </c>
      <c r="Z193" s="22">
        <v>9.6468860000000003E-2</v>
      </c>
    </row>
    <row r="194" spans="19:26" ht="16" x14ac:dyDescent="0.2">
      <c r="S194" s="23">
        <v>42418</v>
      </c>
      <c r="T194" s="22">
        <v>12.8199997</v>
      </c>
      <c r="U194" s="22">
        <v>12.9099998</v>
      </c>
      <c r="V194" s="22">
        <v>12.3199997</v>
      </c>
      <c r="W194" s="22">
        <v>12.699999800000001</v>
      </c>
      <c r="X194" s="22">
        <v>7.9388670899999996</v>
      </c>
      <c r="Y194" s="22">
        <v>359900</v>
      </c>
      <c r="Z194" s="22">
        <v>-2.3571E-3</v>
      </c>
    </row>
    <row r="195" spans="19:26" ht="16" x14ac:dyDescent="0.2">
      <c r="S195" s="23">
        <v>42419</v>
      </c>
      <c r="T195" s="22">
        <v>12.600000400000001</v>
      </c>
      <c r="U195" s="22">
        <v>12.800000199999999</v>
      </c>
      <c r="V195" s="22">
        <v>12.29</v>
      </c>
      <c r="W195" s="22">
        <v>12.6899996</v>
      </c>
      <c r="X195" s="22">
        <v>7.9326181399999998</v>
      </c>
      <c r="Y195" s="22">
        <v>428400</v>
      </c>
      <c r="Z195" s="22">
        <v>-7.871E-4</v>
      </c>
    </row>
    <row r="196" spans="19:26" ht="16" x14ac:dyDescent="0.2">
      <c r="S196" s="23">
        <v>42422</v>
      </c>
      <c r="T196" s="22">
        <v>12.8800001</v>
      </c>
      <c r="U196" s="22">
        <v>13.170000099999999</v>
      </c>
      <c r="V196" s="22">
        <v>12.420000099999999</v>
      </c>
      <c r="W196" s="22">
        <v>12.699999800000001</v>
      </c>
      <c r="X196" s="22">
        <v>7.9388670899999996</v>
      </c>
      <c r="Y196" s="22">
        <v>546200</v>
      </c>
      <c r="Z196" s="22">
        <v>7.8775000000000004E-4</v>
      </c>
    </row>
    <row r="197" spans="19:26" ht="16" x14ac:dyDescent="0.2">
      <c r="S197" s="23">
        <v>42423</v>
      </c>
      <c r="T197" s="22">
        <v>12.6300001</v>
      </c>
      <c r="U197" s="22">
        <v>12.779999699999999</v>
      </c>
      <c r="V197" s="22">
        <v>12.0100002</v>
      </c>
      <c r="W197" s="22">
        <v>12.04</v>
      </c>
      <c r="X197" s="22">
        <v>7.5262989999999999</v>
      </c>
      <c r="Y197" s="22">
        <v>546300</v>
      </c>
      <c r="Z197" s="22">
        <v>-5.1968100000000003E-2</v>
      </c>
    </row>
    <row r="198" spans="19:26" ht="16" x14ac:dyDescent="0.2">
      <c r="S198" s="23">
        <v>42424</v>
      </c>
      <c r="T198" s="22">
        <v>11.8199997</v>
      </c>
      <c r="U198" s="22">
        <v>12.5900002</v>
      </c>
      <c r="V198" s="22">
        <v>11.75</v>
      </c>
      <c r="W198" s="22">
        <v>12.5200005</v>
      </c>
      <c r="X198" s="22">
        <v>7.8263516400000004</v>
      </c>
      <c r="Y198" s="22">
        <v>574700</v>
      </c>
      <c r="Z198" s="22">
        <v>3.9867220000000002E-2</v>
      </c>
    </row>
    <row r="199" spans="19:26" ht="16" x14ac:dyDescent="0.2">
      <c r="S199" s="23">
        <v>42425</v>
      </c>
      <c r="T199" s="22">
        <v>12.529999699999999</v>
      </c>
      <c r="U199" s="22">
        <v>12.8699999</v>
      </c>
      <c r="V199" s="22">
        <v>12.279999699999999</v>
      </c>
      <c r="W199" s="22">
        <v>12.859999699999999</v>
      </c>
      <c r="X199" s="22">
        <v>8.0388851199999998</v>
      </c>
      <c r="Y199" s="22">
        <v>517400</v>
      </c>
      <c r="Z199" s="22">
        <v>2.7156139999999999E-2</v>
      </c>
    </row>
    <row r="200" spans="19:26" ht="16" x14ac:dyDescent="0.2">
      <c r="S200" s="23">
        <v>42426</v>
      </c>
      <c r="T200" s="22">
        <v>12.5600004</v>
      </c>
      <c r="U200" s="22">
        <v>12.720000300000001</v>
      </c>
      <c r="V200" s="22">
        <v>12.390000300000001</v>
      </c>
      <c r="W200" s="22">
        <v>12.4399996</v>
      </c>
      <c r="X200" s="22">
        <v>7.9148206700000001</v>
      </c>
      <c r="Y200" s="22">
        <v>375300</v>
      </c>
      <c r="Z200" s="22">
        <v>-1.5433000000000001E-2</v>
      </c>
    </row>
    <row r="201" spans="19:26" ht="16" x14ac:dyDescent="0.2">
      <c r="S201" s="23">
        <v>42429</v>
      </c>
      <c r="T201" s="22">
        <v>12.4099998</v>
      </c>
      <c r="U201" s="22">
        <v>13.199999800000001</v>
      </c>
      <c r="V201" s="22">
        <v>12.3400002</v>
      </c>
      <c r="W201" s="22">
        <v>13.0699997</v>
      </c>
      <c r="X201" s="22">
        <v>8.3156499900000007</v>
      </c>
      <c r="Y201" s="22">
        <v>1017900</v>
      </c>
      <c r="Z201" s="22">
        <v>5.0642880000000001E-2</v>
      </c>
    </row>
    <row r="202" spans="19:26" ht="16" x14ac:dyDescent="0.2">
      <c r="S202" s="23">
        <v>42430</v>
      </c>
      <c r="T202" s="22">
        <v>13.079999900000001</v>
      </c>
      <c r="U202" s="22">
        <v>13.9099998</v>
      </c>
      <c r="V202" s="22">
        <v>13.0100002</v>
      </c>
      <c r="W202" s="22">
        <v>13.7600002</v>
      </c>
      <c r="X202" s="22">
        <v>8.7546558399999999</v>
      </c>
      <c r="Y202" s="22">
        <v>1058100</v>
      </c>
      <c r="Z202" s="22">
        <v>5.2792730000000003E-2</v>
      </c>
    </row>
    <row r="203" spans="19:26" ht="16" x14ac:dyDescent="0.2">
      <c r="S203" s="23">
        <v>42431</v>
      </c>
      <c r="T203" s="22">
        <v>13.6300001</v>
      </c>
      <c r="U203" s="22">
        <v>13.7600002</v>
      </c>
      <c r="V203" s="22">
        <v>12.859999699999999</v>
      </c>
      <c r="W203" s="22">
        <v>13.720000300000001</v>
      </c>
      <c r="X203" s="22">
        <v>8.7292070400000004</v>
      </c>
      <c r="Y203" s="22">
        <v>697200</v>
      </c>
      <c r="Z203" s="22">
        <v>-2.9069E-3</v>
      </c>
    </row>
    <row r="204" spans="19:26" ht="16" x14ac:dyDescent="0.2">
      <c r="S204" s="23">
        <v>42432</v>
      </c>
      <c r="T204" s="22">
        <v>13.779999699999999</v>
      </c>
      <c r="U204" s="22">
        <v>14.1199999</v>
      </c>
      <c r="V204" s="22">
        <v>13.4899998</v>
      </c>
      <c r="W204" s="22">
        <v>13.720000300000001</v>
      </c>
      <c r="X204" s="22">
        <v>8.7292070400000004</v>
      </c>
      <c r="Y204" s="22">
        <v>689900</v>
      </c>
      <c r="Z204" s="22">
        <v>0</v>
      </c>
    </row>
    <row r="205" spans="19:26" ht="16" x14ac:dyDescent="0.2">
      <c r="S205" s="23">
        <v>42433</v>
      </c>
      <c r="T205" s="22">
        <v>13.670000099999999</v>
      </c>
      <c r="U205" s="22">
        <v>13.829999900000001</v>
      </c>
      <c r="V205" s="22">
        <v>13.4300003</v>
      </c>
      <c r="W205" s="22">
        <v>13.5</v>
      </c>
      <c r="X205" s="22">
        <v>8.58923244</v>
      </c>
      <c r="Y205" s="22">
        <v>548600</v>
      </c>
      <c r="Z205" s="22">
        <v>-1.6035199999999999E-2</v>
      </c>
    </row>
    <row r="206" spans="19:26" ht="16" x14ac:dyDescent="0.2">
      <c r="S206" s="23">
        <v>42436</v>
      </c>
      <c r="T206" s="22">
        <v>13.5699997</v>
      </c>
      <c r="U206" s="22">
        <v>14.149999599999999</v>
      </c>
      <c r="V206" s="22">
        <v>13.4799995</v>
      </c>
      <c r="W206" s="22">
        <v>13.800000199999999</v>
      </c>
      <c r="X206" s="22">
        <v>8.7801046399999993</v>
      </c>
      <c r="Y206" s="22">
        <v>669400</v>
      </c>
      <c r="Z206" s="22">
        <v>2.2222260000000001E-2</v>
      </c>
    </row>
    <row r="207" spans="19:26" ht="16" x14ac:dyDescent="0.2">
      <c r="S207" s="23">
        <v>42437</v>
      </c>
      <c r="T207" s="22">
        <v>13.850000400000001</v>
      </c>
      <c r="U207" s="22">
        <v>13.8699999</v>
      </c>
      <c r="V207" s="22">
        <v>13.4799995</v>
      </c>
      <c r="W207" s="22">
        <v>13.6300001</v>
      </c>
      <c r="X207" s="22">
        <v>8.6719455700000001</v>
      </c>
      <c r="Y207" s="22">
        <v>786600</v>
      </c>
      <c r="Z207" s="22">
        <v>-1.23187E-2</v>
      </c>
    </row>
    <row r="208" spans="19:26" ht="16" x14ac:dyDescent="0.2">
      <c r="S208" s="23">
        <v>42438</v>
      </c>
      <c r="T208" s="22">
        <v>13.71</v>
      </c>
      <c r="U208" s="22">
        <v>14.029999699999999</v>
      </c>
      <c r="V208" s="22">
        <v>13.350000400000001</v>
      </c>
      <c r="W208" s="22">
        <v>13.890000300000001</v>
      </c>
      <c r="X208" s="22">
        <v>8.8373661000000006</v>
      </c>
      <c r="Y208" s="22">
        <v>660600</v>
      </c>
      <c r="Z208" s="22">
        <v>1.9075370000000001E-2</v>
      </c>
    </row>
    <row r="209" spans="19:26" ht="16" x14ac:dyDescent="0.2">
      <c r="S209" s="23">
        <v>42439</v>
      </c>
      <c r="T209" s="22">
        <v>13.96</v>
      </c>
      <c r="U209" s="22">
        <v>14.350000400000001</v>
      </c>
      <c r="V209" s="22">
        <v>13.7600002</v>
      </c>
      <c r="W209" s="22">
        <v>14.3100004</v>
      </c>
      <c r="X209" s="22">
        <v>9.1045885099999992</v>
      </c>
      <c r="Y209" s="22">
        <v>752300</v>
      </c>
      <c r="Z209" s="22">
        <v>3.0237790000000001E-2</v>
      </c>
    </row>
    <row r="210" spans="19:26" ht="16" x14ac:dyDescent="0.2">
      <c r="S210" s="23">
        <v>42440</v>
      </c>
      <c r="T210" s="22">
        <v>14.4899998</v>
      </c>
      <c r="U210" s="22">
        <v>14.9300003</v>
      </c>
      <c r="V210" s="22">
        <v>14.4899998</v>
      </c>
      <c r="W210" s="22">
        <v>14.7700005</v>
      </c>
      <c r="X210" s="22">
        <v>9.3972568499999998</v>
      </c>
      <c r="Y210" s="22">
        <v>1030500</v>
      </c>
      <c r="Z210" s="22">
        <v>3.2145149999999997E-2</v>
      </c>
    </row>
    <row r="211" spans="19:26" ht="16" x14ac:dyDescent="0.2">
      <c r="S211" s="23">
        <v>42443</v>
      </c>
      <c r="T211" s="22">
        <v>14.71</v>
      </c>
      <c r="U211" s="22">
        <v>14.800000199999999</v>
      </c>
      <c r="V211" s="22">
        <v>13.949999800000001</v>
      </c>
      <c r="W211" s="22">
        <v>14.449999800000001</v>
      </c>
      <c r="X211" s="22">
        <v>9.1936626399999994</v>
      </c>
      <c r="Y211" s="22">
        <v>521500</v>
      </c>
      <c r="Z211" s="22">
        <v>-2.1665299999999998E-2</v>
      </c>
    </row>
    <row r="212" spans="19:26" ht="16" x14ac:dyDescent="0.2">
      <c r="S212" s="23">
        <v>42444</v>
      </c>
      <c r="T212" s="22">
        <v>14.3199997</v>
      </c>
      <c r="U212" s="22">
        <v>14.399999599999999</v>
      </c>
      <c r="V212" s="22">
        <v>13.829999900000001</v>
      </c>
      <c r="W212" s="22">
        <v>14.050000199999999</v>
      </c>
      <c r="X212" s="22">
        <v>8.9391651200000002</v>
      </c>
      <c r="Y212" s="22">
        <v>468300</v>
      </c>
      <c r="Z212" s="22">
        <v>-2.7681799999999999E-2</v>
      </c>
    </row>
    <row r="213" spans="19:26" ht="16" x14ac:dyDescent="0.2">
      <c r="S213" s="23">
        <v>42445</v>
      </c>
      <c r="T213" s="22">
        <v>14.029999699999999</v>
      </c>
      <c r="U213" s="22">
        <v>14.1899996</v>
      </c>
      <c r="V213" s="22">
        <v>13.8699999</v>
      </c>
      <c r="W213" s="22">
        <v>14.0600004</v>
      </c>
      <c r="X213" s="22">
        <v>8.9455280300000002</v>
      </c>
      <c r="Y213" s="22">
        <v>675600</v>
      </c>
      <c r="Z213" s="22">
        <v>7.1179999999999995E-4</v>
      </c>
    </row>
    <row r="214" spans="19:26" ht="16" x14ac:dyDescent="0.2">
      <c r="S214" s="23">
        <v>42446</v>
      </c>
      <c r="T214" s="22">
        <v>14.140000300000001</v>
      </c>
      <c r="U214" s="22">
        <v>14.1800003</v>
      </c>
      <c r="V214" s="22">
        <v>13.9300003</v>
      </c>
      <c r="W214" s="22">
        <v>14.0600004</v>
      </c>
      <c r="X214" s="22">
        <v>8.9455280300000002</v>
      </c>
      <c r="Y214" s="22">
        <v>589100</v>
      </c>
      <c r="Z214" s="22">
        <v>0</v>
      </c>
    </row>
    <row r="215" spans="19:26" ht="16" x14ac:dyDescent="0.2">
      <c r="S215" s="23">
        <v>42447</v>
      </c>
      <c r="T215" s="22">
        <v>14.1599998</v>
      </c>
      <c r="U215" s="22">
        <v>14.329999900000001</v>
      </c>
      <c r="V215" s="22">
        <v>13.920000099999999</v>
      </c>
      <c r="W215" s="22">
        <v>14.04</v>
      </c>
      <c r="X215" s="22">
        <v>8.9328041099999993</v>
      </c>
      <c r="Y215" s="22">
        <v>781900</v>
      </c>
      <c r="Z215" s="22">
        <v>-1.4224000000000001E-3</v>
      </c>
    </row>
    <row r="216" spans="19:26" ht="16" x14ac:dyDescent="0.2">
      <c r="S216" s="23">
        <v>42450</v>
      </c>
      <c r="T216" s="22">
        <v>14.029999699999999</v>
      </c>
      <c r="U216" s="22">
        <v>14.2399998</v>
      </c>
      <c r="V216" s="22">
        <v>13.9799995</v>
      </c>
      <c r="W216" s="22">
        <v>14.149999599999999</v>
      </c>
      <c r="X216" s="22">
        <v>9.0027885399999992</v>
      </c>
      <c r="Y216" s="22">
        <v>346000</v>
      </c>
      <c r="Z216" s="22">
        <v>7.8345399999999992E-3</v>
      </c>
    </row>
    <row r="217" spans="19:26" ht="16" x14ac:dyDescent="0.2">
      <c r="S217" s="23">
        <v>42451</v>
      </c>
      <c r="T217" s="22">
        <v>14.109999699999999</v>
      </c>
      <c r="U217" s="22">
        <v>14.2399998</v>
      </c>
      <c r="V217" s="22">
        <v>13.890000300000001</v>
      </c>
      <c r="W217" s="22">
        <v>14.0699997</v>
      </c>
      <c r="X217" s="22">
        <v>8.9518928500000001</v>
      </c>
      <c r="Y217" s="22">
        <v>273000</v>
      </c>
      <c r="Z217" s="22">
        <v>-5.6533E-3</v>
      </c>
    </row>
    <row r="218" spans="19:26" ht="16" x14ac:dyDescent="0.2">
      <c r="S218" s="23">
        <v>42452</v>
      </c>
      <c r="T218" s="22">
        <v>14.050000199999999</v>
      </c>
      <c r="U218" s="22">
        <v>14.050000199999999</v>
      </c>
      <c r="V218" s="22">
        <v>13.3699999</v>
      </c>
      <c r="W218" s="22">
        <v>13.3800001</v>
      </c>
      <c r="X218" s="22">
        <v>8.5128860500000005</v>
      </c>
      <c r="Y218" s="22">
        <v>508500</v>
      </c>
      <c r="Z218" s="22">
        <v>-4.90407E-2</v>
      </c>
    </row>
    <row r="219" spans="19:26" ht="16" x14ac:dyDescent="0.2">
      <c r="S219" s="23">
        <v>42453</v>
      </c>
      <c r="T219" s="22">
        <v>13.21</v>
      </c>
      <c r="U219" s="22">
        <v>13.720000300000001</v>
      </c>
      <c r="V219" s="22">
        <v>13.050000199999999</v>
      </c>
      <c r="W219" s="22">
        <v>13.6899996</v>
      </c>
      <c r="X219" s="22">
        <v>8.7101211500000009</v>
      </c>
      <c r="Y219" s="22">
        <v>383300</v>
      </c>
      <c r="Z219" s="22">
        <v>2.316901E-2</v>
      </c>
    </row>
    <row r="220" spans="19:26" ht="16" x14ac:dyDescent="0.2">
      <c r="S220" s="23">
        <v>42457</v>
      </c>
      <c r="T220" s="22">
        <v>13.7600002</v>
      </c>
      <c r="U220" s="22">
        <v>13.9099998</v>
      </c>
      <c r="V220" s="22">
        <v>13.4799995</v>
      </c>
      <c r="W220" s="22">
        <v>13.7299995</v>
      </c>
      <c r="X220" s="22">
        <v>8.7355689999999999</v>
      </c>
      <c r="Y220" s="22">
        <v>266800</v>
      </c>
      <c r="Z220" s="22">
        <v>2.9216400000000001E-3</v>
      </c>
    </row>
    <row r="221" spans="19:26" ht="16" x14ac:dyDescent="0.2">
      <c r="S221" s="23">
        <v>42458</v>
      </c>
      <c r="T221" s="22">
        <v>13.54</v>
      </c>
      <c r="U221" s="22">
        <v>14.399999599999999</v>
      </c>
      <c r="V221" s="22">
        <v>13.4399996</v>
      </c>
      <c r="W221" s="22">
        <v>14.359999699999999</v>
      </c>
      <c r="X221" s="22">
        <v>9.1363983199999996</v>
      </c>
      <c r="Y221" s="22">
        <v>384400</v>
      </c>
      <c r="Z221" s="22">
        <v>4.588474E-2</v>
      </c>
    </row>
    <row r="222" spans="19:26" ht="16" x14ac:dyDescent="0.2">
      <c r="S222" s="23">
        <v>42459</v>
      </c>
      <c r="T222" s="22">
        <v>14.390000300000001</v>
      </c>
      <c r="U222" s="22">
        <v>14.5600004</v>
      </c>
      <c r="V222" s="22">
        <v>14.109999699999999</v>
      </c>
      <c r="W222" s="22">
        <v>14.170000099999999</v>
      </c>
      <c r="X222" s="22">
        <v>9.0155124700000009</v>
      </c>
      <c r="Y222" s="22">
        <v>533700</v>
      </c>
      <c r="Z222" s="22">
        <v>-1.32312E-2</v>
      </c>
    </row>
    <row r="223" spans="19:26" ht="16" x14ac:dyDescent="0.2">
      <c r="S223" s="23">
        <v>42460</v>
      </c>
      <c r="T223" s="22">
        <v>14.199999800000001</v>
      </c>
      <c r="U223" s="22">
        <v>14.470000300000001</v>
      </c>
      <c r="V223" s="22">
        <v>14.079999900000001</v>
      </c>
      <c r="W223" s="22">
        <v>14.2399998</v>
      </c>
      <c r="X223" s="22">
        <v>9.0600500099999994</v>
      </c>
      <c r="Y223" s="22">
        <v>301200</v>
      </c>
      <c r="Z223" s="22">
        <v>4.9401000000000002E-3</v>
      </c>
    </row>
    <row r="224" spans="19:26" ht="16" x14ac:dyDescent="0.2">
      <c r="S224" s="23">
        <v>42461</v>
      </c>
      <c r="T224" s="22">
        <v>14.079999900000001</v>
      </c>
      <c r="U224" s="22">
        <v>14.5100002</v>
      </c>
      <c r="V224" s="22">
        <v>13.779999699999999</v>
      </c>
      <c r="W224" s="22">
        <v>14.4300003</v>
      </c>
      <c r="X224" s="22">
        <v>9.1809387200000003</v>
      </c>
      <c r="Y224" s="22">
        <v>400400</v>
      </c>
      <c r="Z224" s="22">
        <v>1.334305E-2</v>
      </c>
    </row>
    <row r="225" spans="19:26" ht="16" x14ac:dyDescent="0.2">
      <c r="S225" s="23">
        <v>42464</v>
      </c>
      <c r="T225" s="22">
        <v>14.4099998</v>
      </c>
      <c r="U225" s="22">
        <v>14.5100002</v>
      </c>
      <c r="V225" s="22">
        <v>13.949999800000001</v>
      </c>
      <c r="W225" s="22">
        <v>14.1300001</v>
      </c>
      <c r="X225" s="22">
        <v>8.99006653</v>
      </c>
      <c r="Y225" s="22">
        <v>371900</v>
      </c>
      <c r="Z225" s="22">
        <v>-2.0790099999999999E-2</v>
      </c>
    </row>
    <row r="226" spans="19:26" ht="16" x14ac:dyDescent="0.2">
      <c r="S226" s="23">
        <v>42465</v>
      </c>
      <c r="T226" s="22">
        <v>14.079999900000001</v>
      </c>
      <c r="U226" s="22">
        <v>14.1300001</v>
      </c>
      <c r="V226" s="22">
        <v>13.779999699999999</v>
      </c>
      <c r="W226" s="22">
        <v>14.04</v>
      </c>
      <c r="X226" s="22">
        <v>8.9328041099999993</v>
      </c>
      <c r="Y226" s="22">
        <v>412900</v>
      </c>
      <c r="Z226" s="22">
        <v>-6.3695000000000002E-3</v>
      </c>
    </row>
    <row r="227" spans="19:26" ht="16" x14ac:dyDescent="0.2">
      <c r="S227" s="23">
        <v>42466</v>
      </c>
      <c r="T227" s="22">
        <v>14.050000199999999</v>
      </c>
      <c r="U227" s="22">
        <v>14.109999699999999</v>
      </c>
      <c r="V227" s="22">
        <v>13.800000199999999</v>
      </c>
      <c r="W227" s="22">
        <v>14.0699997</v>
      </c>
      <c r="X227" s="22">
        <v>8.9518928500000001</v>
      </c>
      <c r="Y227" s="22">
        <v>359000</v>
      </c>
      <c r="Z227" s="22">
        <v>2.13693E-3</v>
      </c>
    </row>
    <row r="228" spans="19:26" ht="16" x14ac:dyDescent="0.2">
      <c r="S228" s="23">
        <v>42467</v>
      </c>
      <c r="T228" s="22">
        <v>14.04</v>
      </c>
      <c r="U228" s="22">
        <v>14.449999800000001</v>
      </c>
      <c r="V228" s="22">
        <v>13.9099998</v>
      </c>
      <c r="W228" s="22">
        <v>14.0900002</v>
      </c>
      <c r="X228" s="22">
        <v>8.9646148700000001</v>
      </c>
      <c r="Y228" s="22">
        <v>753200</v>
      </c>
      <c r="Z228" s="22">
        <v>1.4211499999999999E-3</v>
      </c>
    </row>
    <row r="229" spans="19:26" ht="16" x14ac:dyDescent="0.2">
      <c r="S229" s="23">
        <v>42468</v>
      </c>
      <c r="T229" s="22">
        <v>14.220000300000001</v>
      </c>
      <c r="U229" s="22">
        <v>14.5</v>
      </c>
      <c r="V229" s="22">
        <v>14.050000199999999</v>
      </c>
      <c r="W229" s="22">
        <v>14.3100004</v>
      </c>
      <c r="X229" s="22">
        <v>9.1045885099999992</v>
      </c>
      <c r="Y229" s="22">
        <v>335000</v>
      </c>
      <c r="Z229" s="22">
        <v>1.5614019999999999E-2</v>
      </c>
    </row>
    <row r="230" spans="19:26" ht="16" x14ac:dyDescent="0.2">
      <c r="S230" s="23">
        <v>42471</v>
      </c>
      <c r="T230" s="22">
        <v>14.399999599999999</v>
      </c>
      <c r="U230" s="22">
        <v>14.71</v>
      </c>
      <c r="V230" s="22">
        <v>14.3800001</v>
      </c>
      <c r="W230" s="22">
        <v>14.399999599999999</v>
      </c>
      <c r="X230" s="22">
        <v>9.1618499799999995</v>
      </c>
      <c r="Y230" s="22">
        <v>321900</v>
      </c>
      <c r="Z230" s="22">
        <v>6.2893000000000003E-3</v>
      </c>
    </row>
    <row r="231" spans="19:26" ht="16" x14ac:dyDescent="0.2">
      <c r="S231" s="23">
        <v>42472</v>
      </c>
      <c r="T231" s="22">
        <v>14.399999599999999</v>
      </c>
      <c r="U231" s="22">
        <v>14.670000099999999</v>
      </c>
      <c r="V231" s="22">
        <v>14.3199997</v>
      </c>
      <c r="W231" s="22">
        <v>14.5</v>
      </c>
      <c r="X231" s="22">
        <v>9.2254724499999998</v>
      </c>
      <c r="Y231" s="22">
        <v>266800</v>
      </c>
      <c r="Z231" s="22">
        <v>6.9442799999999997E-3</v>
      </c>
    </row>
    <row r="232" spans="19:26" ht="16" x14ac:dyDescent="0.2">
      <c r="S232" s="23">
        <v>42473</v>
      </c>
      <c r="T232" s="22">
        <v>14.529999699999999</v>
      </c>
      <c r="U232" s="22">
        <v>14.8400002</v>
      </c>
      <c r="V232" s="22">
        <v>14.399999599999999</v>
      </c>
      <c r="W232" s="22">
        <v>14.649999599999999</v>
      </c>
      <c r="X232" s="22">
        <v>9.3209095000000008</v>
      </c>
      <c r="Y232" s="22">
        <v>938500</v>
      </c>
      <c r="Z232" s="22">
        <v>1.034495E-2</v>
      </c>
    </row>
    <row r="233" spans="19:26" ht="16" x14ac:dyDescent="0.2">
      <c r="S233" s="23">
        <v>42474</v>
      </c>
      <c r="T233" s="22">
        <v>14.649999599999999</v>
      </c>
      <c r="U233" s="22">
        <v>14.899999599999999</v>
      </c>
      <c r="V233" s="22">
        <v>14.640000300000001</v>
      </c>
      <c r="W233" s="22">
        <v>14.7700005</v>
      </c>
      <c r="X233" s="22">
        <v>9.3972568499999998</v>
      </c>
      <c r="Y233" s="22">
        <v>411100</v>
      </c>
      <c r="Z233" s="22">
        <v>8.1909800000000005E-3</v>
      </c>
    </row>
    <row r="234" spans="19:26" ht="16" x14ac:dyDescent="0.2">
      <c r="S234" s="23">
        <v>42475</v>
      </c>
      <c r="T234" s="22">
        <v>14.7700005</v>
      </c>
      <c r="U234" s="22">
        <v>14.970000300000001</v>
      </c>
      <c r="V234" s="22">
        <v>14.6199999</v>
      </c>
      <c r="W234" s="22">
        <v>14.8800001</v>
      </c>
      <c r="X234" s="22">
        <v>9.4672441500000009</v>
      </c>
      <c r="Y234" s="22">
        <v>345300</v>
      </c>
      <c r="Z234" s="22">
        <v>7.4476300000000002E-3</v>
      </c>
    </row>
    <row r="235" spans="19:26" ht="16" x14ac:dyDescent="0.2">
      <c r="S235" s="23">
        <v>42478</v>
      </c>
      <c r="T235" s="22">
        <v>14.699999800000001</v>
      </c>
      <c r="U235" s="22">
        <v>14.9099998</v>
      </c>
      <c r="V235" s="22">
        <v>14.4399996</v>
      </c>
      <c r="W235" s="22">
        <v>14.8699999</v>
      </c>
      <c r="X235" s="22">
        <v>9.4608821899999995</v>
      </c>
      <c r="Y235" s="22">
        <v>444700</v>
      </c>
      <c r="Z235" s="22">
        <v>-6.7199999999999996E-4</v>
      </c>
    </row>
    <row r="236" spans="19:26" ht="16" x14ac:dyDescent="0.2">
      <c r="S236" s="23">
        <v>42479</v>
      </c>
      <c r="T236" s="22">
        <v>14.890000300000001</v>
      </c>
      <c r="U236" s="22">
        <v>15.359999699999999</v>
      </c>
      <c r="V236" s="22">
        <v>14.7299995</v>
      </c>
      <c r="W236" s="22">
        <v>15.199999800000001</v>
      </c>
      <c r="X236" s="22">
        <v>9.6708402600000003</v>
      </c>
      <c r="Y236" s="22">
        <v>819700</v>
      </c>
      <c r="Z236" s="22">
        <v>2.219223E-2</v>
      </c>
    </row>
    <row r="237" spans="19:26" ht="16" x14ac:dyDescent="0.2">
      <c r="S237" s="23">
        <v>42480</v>
      </c>
      <c r="T237" s="22">
        <v>15.149999599999999</v>
      </c>
      <c r="U237" s="22">
        <v>15.1800003</v>
      </c>
      <c r="V237" s="22">
        <v>14.579999900000001</v>
      </c>
      <c r="W237" s="22">
        <v>14.71</v>
      </c>
      <c r="X237" s="22">
        <v>9.3590841299999994</v>
      </c>
      <c r="Y237" s="22">
        <v>875300</v>
      </c>
      <c r="Z237" s="22">
        <v>-3.22367E-2</v>
      </c>
    </row>
    <row r="238" spans="19:26" ht="16" x14ac:dyDescent="0.2">
      <c r="S238" s="23">
        <v>42481</v>
      </c>
      <c r="T238" s="22">
        <v>14.699999800000001</v>
      </c>
      <c r="U238" s="22">
        <v>14.829999900000001</v>
      </c>
      <c r="V238" s="22">
        <v>14.529999699999999</v>
      </c>
      <c r="W238" s="22">
        <v>14.75</v>
      </c>
      <c r="X238" s="22">
        <v>9.3845319699999994</v>
      </c>
      <c r="Y238" s="22">
        <v>1936800</v>
      </c>
      <c r="Z238" s="22">
        <v>2.7190500000000002E-3</v>
      </c>
    </row>
    <row r="239" spans="19:26" ht="16" x14ac:dyDescent="0.2">
      <c r="S239" s="23">
        <v>42482</v>
      </c>
      <c r="T239" s="22">
        <v>14.8199997</v>
      </c>
      <c r="U239" s="22">
        <v>15.220000300000001</v>
      </c>
      <c r="V239" s="22">
        <v>14.8100004</v>
      </c>
      <c r="W239" s="22">
        <v>15.1899996</v>
      </c>
      <c r="X239" s="22">
        <v>9.6644754400000004</v>
      </c>
      <c r="Y239" s="22">
        <v>996200</v>
      </c>
      <c r="Z239" s="22">
        <v>2.9830309999999999E-2</v>
      </c>
    </row>
    <row r="240" spans="19:26" ht="16" x14ac:dyDescent="0.2">
      <c r="S240" s="23">
        <v>42485</v>
      </c>
      <c r="T240" s="22">
        <v>15.2299995</v>
      </c>
      <c r="U240" s="22">
        <v>15.6899996</v>
      </c>
      <c r="V240" s="22">
        <v>15.2299995</v>
      </c>
      <c r="W240" s="22">
        <v>15.6599998</v>
      </c>
      <c r="X240" s="22">
        <v>9.9635114700000003</v>
      </c>
      <c r="Y240" s="22">
        <v>779900</v>
      </c>
      <c r="Z240" s="22">
        <v>3.0941779999999999E-2</v>
      </c>
    </row>
    <row r="241" spans="19:26" ht="16" x14ac:dyDescent="0.2">
      <c r="S241" s="23">
        <v>42486</v>
      </c>
      <c r="T241" s="22">
        <v>15.7700005</v>
      </c>
      <c r="U241" s="22">
        <v>16.149999600000001</v>
      </c>
      <c r="V241" s="22">
        <v>15.6199999</v>
      </c>
      <c r="W241" s="22">
        <v>16.090000199999999</v>
      </c>
      <c r="X241" s="22">
        <v>10.237095800000001</v>
      </c>
      <c r="Y241" s="22">
        <v>1083400</v>
      </c>
      <c r="Z241" s="22">
        <v>2.7458630000000001E-2</v>
      </c>
    </row>
    <row r="242" spans="19:26" ht="16" x14ac:dyDescent="0.2">
      <c r="S242" s="23">
        <v>42487</v>
      </c>
      <c r="T242" s="22">
        <v>16.110000599999999</v>
      </c>
      <c r="U242" s="22">
        <v>16.420000099999999</v>
      </c>
      <c r="V242" s="22">
        <v>15.970000300000001</v>
      </c>
      <c r="W242" s="22">
        <v>16.280000699999999</v>
      </c>
      <c r="X242" s="22">
        <v>10.3579826</v>
      </c>
      <c r="Y242" s="22">
        <v>869600</v>
      </c>
      <c r="Z242" s="22">
        <v>1.18087E-2</v>
      </c>
    </row>
    <row r="243" spans="19:26" ht="16" x14ac:dyDescent="0.2">
      <c r="S243" s="23">
        <v>42488</v>
      </c>
      <c r="T243" s="22">
        <v>16.2399998</v>
      </c>
      <c r="U243" s="22">
        <v>16.4899998</v>
      </c>
      <c r="V243" s="22">
        <v>16.170000099999999</v>
      </c>
      <c r="W243" s="22">
        <v>16.209999100000001</v>
      </c>
      <c r="X243" s="22">
        <v>10.313442200000001</v>
      </c>
      <c r="Y243" s="22">
        <v>511700</v>
      </c>
      <c r="Z243" s="22">
        <v>-4.3001000000000003E-3</v>
      </c>
    </row>
    <row r="244" spans="19:26" ht="16" x14ac:dyDescent="0.2">
      <c r="S244" s="23">
        <v>42489</v>
      </c>
      <c r="T244" s="22">
        <v>16.340000199999999</v>
      </c>
      <c r="U244" s="22">
        <v>16.520000499999998</v>
      </c>
      <c r="V244" s="22">
        <v>16.100000399999999</v>
      </c>
      <c r="W244" s="22">
        <v>16.1800003</v>
      </c>
      <c r="X244" s="22">
        <v>10.2943544</v>
      </c>
      <c r="Y244" s="22">
        <v>562700</v>
      </c>
      <c r="Z244" s="22">
        <v>-1.8508000000000001E-3</v>
      </c>
    </row>
    <row r="245" spans="19:26" ht="16" x14ac:dyDescent="0.2">
      <c r="S245" s="23">
        <v>42492</v>
      </c>
      <c r="T245" s="22">
        <v>16.149999600000001</v>
      </c>
      <c r="U245" s="22">
        <v>16.4300003</v>
      </c>
      <c r="V245" s="22">
        <v>16.090000199999999</v>
      </c>
      <c r="W245" s="22">
        <v>16.360000599999999</v>
      </c>
      <c r="X245" s="22">
        <v>10.4088812</v>
      </c>
      <c r="Y245" s="22">
        <v>414800</v>
      </c>
      <c r="Z245" s="22">
        <v>1.11252E-2</v>
      </c>
    </row>
    <row r="246" spans="19:26" ht="16" x14ac:dyDescent="0.2">
      <c r="S246" s="23">
        <v>42493</v>
      </c>
      <c r="T246" s="22">
        <v>16.219999300000001</v>
      </c>
      <c r="U246" s="22">
        <v>16.420000099999999</v>
      </c>
      <c r="V246" s="22">
        <v>15.579999900000001</v>
      </c>
      <c r="W246" s="22">
        <v>15.850000400000001</v>
      </c>
      <c r="X246" s="22">
        <v>10.084397299999999</v>
      </c>
      <c r="Y246" s="22">
        <v>669300</v>
      </c>
      <c r="Z246" s="22">
        <v>-3.1173800000000002E-2</v>
      </c>
    </row>
    <row r="247" spans="19:26" ht="16" x14ac:dyDescent="0.2">
      <c r="S247" s="23">
        <v>42494</v>
      </c>
      <c r="T247" s="22">
        <v>15.8400002</v>
      </c>
      <c r="U247" s="22">
        <v>16.329999900000001</v>
      </c>
      <c r="V247" s="22">
        <v>15.8400002</v>
      </c>
      <c r="W247" s="22">
        <v>16.020000499999998</v>
      </c>
      <c r="X247" s="22">
        <v>10.192557300000001</v>
      </c>
      <c r="Y247" s="22">
        <v>766200</v>
      </c>
      <c r="Z247" s="22">
        <v>1.0725480000000001E-2</v>
      </c>
    </row>
    <row r="248" spans="19:26" ht="16" x14ac:dyDescent="0.2">
      <c r="S248" s="23">
        <v>42495</v>
      </c>
      <c r="T248" s="22">
        <v>16.290000899999999</v>
      </c>
      <c r="U248" s="22">
        <v>16.5</v>
      </c>
      <c r="V248" s="22">
        <v>15.4799995</v>
      </c>
      <c r="W248" s="22">
        <v>15.5200005</v>
      </c>
      <c r="X248" s="22">
        <v>9.8744382900000005</v>
      </c>
      <c r="Y248" s="22">
        <v>691700</v>
      </c>
      <c r="Z248" s="22">
        <v>-3.12109E-2</v>
      </c>
    </row>
    <row r="249" spans="19:26" ht="16" x14ac:dyDescent="0.2">
      <c r="S249" s="23">
        <v>42496</v>
      </c>
      <c r="T249" s="22">
        <v>15.4799995</v>
      </c>
      <c r="U249" s="22">
        <v>16.049999199999998</v>
      </c>
      <c r="V249" s="22">
        <v>15.4300003</v>
      </c>
      <c r="W249" s="22">
        <v>15.9399996</v>
      </c>
      <c r="X249" s="22">
        <v>10.1416588</v>
      </c>
      <c r="Y249" s="22">
        <v>702000</v>
      </c>
      <c r="Z249" s="22">
        <v>2.706184E-2</v>
      </c>
    </row>
    <row r="250" spans="19:26" ht="16" x14ac:dyDescent="0.2">
      <c r="S250" s="23">
        <v>42499</v>
      </c>
      <c r="T250" s="22">
        <v>15.7399998</v>
      </c>
      <c r="U250" s="22">
        <v>15.8800001</v>
      </c>
      <c r="V250" s="22">
        <v>14.5900002</v>
      </c>
      <c r="W250" s="22">
        <v>15.1899996</v>
      </c>
      <c r="X250" s="22">
        <v>9.6644754400000004</v>
      </c>
      <c r="Y250" s="22">
        <v>726800</v>
      </c>
      <c r="Z250" s="22">
        <v>-4.7051799999999998E-2</v>
      </c>
    </row>
    <row r="251" spans="19:26" ht="16" x14ac:dyDescent="0.2">
      <c r="S251" s="23">
        <v>42500</v>
      </c>
      <c r="T251" s="22">
        <v>15.1899996</v>
      </c>
      <c r="U251" s="22">
        <v>15.300000199999999</v>
      </c>
      <c r="V251" s="22">
        <v>14.890000300000001</v>
      </c>
      <c r="W251" s="22">
        <v>15.2399998</v>
      </c>
      <c r="X251" s="22">
        <v>9.6962890599999998</v>
      </c>
      <c r="Y251" s="22">
        <v>648200</v>
      </c>
      <c r="Z251" s="22">
        <v>3.29181E-3</v>
      </c>
    </row>
    <row r="252" spans="19:26" ht="16" x14ac:dyDescent="0.2">
      <c r="S252" s="23">
        <v>42501</v>
      </c>
      <c r="T252" s="22">
        <v>15.2700005</v>
      </c>
      <c r="U252" s="22">
        <v>15.2700005</v>
      </c>
      <c r="V252" s="22">
        <v>14.8800001</v>
      </c>
      <c r="W252" s="22">
        <v>15.100000400000001</v>
      </c>
      <c r="X252" s="22">
        <v>9.6072196999999999</v>
      </c>
      <c r="Y252" s="22">
        <v>963200</v>
      </c>
      <c r="Z252" s="22">
        <v>-9.1859000000000003E-3</v>
      </c>
    </row>
    <row r="253" spans="19:26" ht="16" x14ac:dyDescent="0.2">
      <c r="S253" s="23">
        <v>42502</v>
      </c>
      <c r="T253" s="22">
        <v>15.2399998</v>
      </c>
      <c r="U253" s="22">
        <v>15.2399998</v>
      </c>
      <c r="V253" s="22">
        <v>14.5100002</v>
      </c>
      <c r="W253" s="22">
        <v>14.6199999</v>
      </c>
      <c r="X253" s="22">
        <v>9.3018226599999991</v>
      </c>
      <c r="Y253" s="22">
        <v>716600</v>
      </c>
      <c r="Z253" s="22">
        <v>-3.1788299999999999E-2</v>
      </c>
    </row>
    <row r="254" spans="19:26" ht="16" x14ac:dyDescent="0.2">
      <c r="S254" s="23">
        <v>42503</v>
      </c>
      <c r="T254" s="22">
        <v>14.550000199999999</v>
      </c>
      <c r="U254" s="22">
        <v>14.949999800000001</v>
      </c>
      <c r="V254" s="22">
        <v>14.3100004</v>
      </c>
      <c r="W254" s="22">
        <v>14.8100004</v>
      </c>
      <c r="X254" s="22">
        <v>9.4227094699999991</v>
      </c>
      <c r="Y254" s="22">
        <v>759100</v>
      </c>
      <c r="Z254" s="22">
        <v>1.299603E-2</v>
      </c>
    </row>
    <row r="255" spans="19:26" ht="16" x14ac:dyDescent="0.2">
      <c r="S255" s="23">
        <v>42506</v>
      </c>
      <c r="T255" s="22">
        <v>14.859999699999999</v>
      </c>
      <c r="U255" s="22">
        <v>15.420000099999999</v>
      </c>
      <c r="V255" s="22">
        <v>14.779999699999999</v>
      </c>
      <c r="W255" s="22">
        <v>15.2299995</v>
      </c>
      <c r="X255" s="22">
        <v>9.6899290100000002</v>
      </c>
      <c r="Y255" s="22">
        <v>612000</v>
      </c>
      <c r="Z255" s="22">
        <v>2.8359100000000002E-2</v>
      </c>
    </row>
    <row r="256" spans="19:26" ht="16" x14ac:dyDescent="0.2">
      <c r="S256" s="23">
        <v>42507</v>
      </c>
      <c r="T256" s="22">
        <v>15.199999800000001</v>
      </c>
      <c r="U256" s="22">
        <v>15.5</v>
      </c>
      <c r="V256" s="22">
        <v>14.96</v>
      </c>
      <c r="W256" s="22">
        <v>15.279999699999999</v>
      </c>
      <c r="X256" s="22">
        <v>9.7217397699999992</v>
      </c>
      <c r="Y256" s="22">
        <v>485800</v>
      </c>
      <c r="Z256" s="22">
        <v>3.2828699999999998E-3</v>
      </c>
    </row>
    <row r="257" spans="19:26" ht="16" x14ac:dyDescent="0.2">
      <c r="S257" s="23">
        <v>42508</v>
      </c>
      <c r="T257" s="22">
        <v>15.279999699999999</v>
      </c>
      <c r="U257" s="22">
        <v>15.279999699999999</v>
      </c>
      <c r="V257" s="22">
        <v>14.800000199999999</v>
      </c>
      <c r="W257" s="22">
        <v>14.96</v>
      </c>
      <c r="X257" s="22">
        <v>9.5181417499999998</v>
      </c>
      <c r="Y257" s="22">
        <v>800300</v>
      </c>
      <c r="Z257" s="22">
        <v>-2.0942599999999999E-2</v>
      </c>
    </row>
    <row r="258" spans="19:26" ht="16" x14ac:dyDescent="0.2">
      <c r="S258" s="23">
        <v>42509</v>
      </c>
      <c r="T258" s="22">
        <v>14.850000400000001</v>
      </c>
      <c r="U258" s="22">
        <v>15.0100002</v>
      </c>
      <c r="V258" s="22">
        <v>14.529999699999999</v>
      </c>
      <c r="W258" s="22">
        <v>14.899999599999999</v>
      </c>
      <c r="X258" s="22">
        <v>9.47996807</v>
      </c>
      <c r="Y258" s="22">
        <v>629600</v>
      </c>
      <c r="Z258" s="22">
        <v>-4.0105999999999996E-3</v>
      </c>
    </row>
    <row r="259" spans="19:26" ht="16" x14ac:dyDescent="0.2">
      <c r="S259" s="23">
        <v>42510</v>
      </c>
      <c r="T259" s="22">
        <v>14.9399996</v>
      </c>
      <c r="U259" s="22">
        <v>15.220000300000001</v>
      </c>
      <c r="V259" s="22">
        <v>14.859999699999999</v>
      </c>
      <c r="W259" s="22">
        <v>15.1599998</v>
      </c>
      <c r="X259" s="22">
        <v>9.6453933700000007</v>
      </c>
      <c r="Y259" s="22">
        <v>282700</v>
      </c>
      <c r="Z259" s="22">
        <v>1.744998E-2</v>
      </c>
    </row>
    <row r="260" spans="19:26" ht="16" x14ac:dyDescent="0.2">
      <c r="S260" s="23">
        <v>42513</v>
      </c>
      <c r="T260" s="22">
        <v>15.1599998</v>
      </c>
      <c r="U260" s="22">
        <v>15.529999699999999</v>
      </c>
      <c r="V260" s="22">
        <v>15.050000199999999</v>
      </c>
      <c r="W260" s="22">
        <v>15.4300003</v>
      </c>
      <c r="X260" s="22">
        <v>9.8171749100000003</v>
      </c>
      <c r="Y260" s="22">
        <v>371300</v>
      </c>
      <c r="Z260" s="22">
        <v>1.7809700000000001E-2</v>
      </c>
    </row>
    <row r="261" spans="19:26" ht="16" x14ac:dyDescent="0.2">
      <c r="S261" s="23">
        <v>42514</v>
      </c>
      <c r="T261" s="22">
        <v>15.5699997</v>
      </c>
      <c r="U261" s="22">
        <v>15.829999900000001</v>
      </c>
      <c r="V261" s="22">
        <v>15.390000300000001</v>
      </c>
      <c r="W261" s="22">
        <v>15.7399998</v>
      </c>
      <c r="X261" s="22">
        <v>10.014408100000001</v>
      </c>
      <c r="Y261" s="22">
        <v>716700</v>
      </c>
      <c r="Z261" s="22">
        <v>2.0090630000000002E-2</v>
      </c>
    </row>
    <row r="262" spans="19:26" ht="16" x14ac:dyDescent="0.2">
      <c r="S262" s="23">
        <v>42515</v>
      </c>
      <c r="T262" s="22">
        <v>15.829999900000001</v>
      </c>
      <c r="U262" s="22">
        <v>15.829999900000001</v>
      </c>
      <c r="V262" s="22">
        <v>15.470000300000001</v>
      </c>
      <c r="W262" s="22">
        <v>15.54</v>
      </c>
      <c r="X262" s="22">
        <v>9.8871602999999997</v>
      </c>
      <c r="Y262" s="22">
        <v>532600</v>
      </c>
      <c r="Z262" s="22">
        <v>-1.2706500000000001E-2</v>
      </c>
    </row>
    <row r="263" spans="19:26" ht="16" x14ac:dyDescent="0.2">
      <c r="S263" s="23">
        <v>42516</v>
      </c>
      <c r="T263" s="22">
        <v>15.550000199999999</v>
      </c>
      <c r="U263" s="22">
        <v>15.8100004</v>
      </c>
      <c r="V263" s="22">
        <v>15.4300003</v>
      </c>
      <c r="W263" s="22">
        <v>15.6599998</v>
      </c>
      <c r="X263" s="22">
        <v>9.9635114700000003</v>
      </c>
      <c r="Y263" s="22">
        <v>347700</v>
      </c>
      <c r="Z263" s="22">
        <v>7.7222499999999999E-3</v>
      </c>
    </row>
    <row r="264" spans="19:26" ht="16" x14ac:dyDescent="0.2">
      <c r="S264" s="23">
        <v>42517</v>
      </c>
      <c r="T264" s="22">
        <v>15.2399998</v>
      </c>
      <c r="U264" s="22">
        <v>15.649999599999999</v>
      </c>
      <c r="V264" s="22">
        <v>15.2399998</v>
      </c>
      <c r="W264" s="22">
        <v>15.3699999</v>
      </c>
      <c r="X264" s="22">
        <v>9.9247674900000007</v>
      </c>
      <c r="Y264" s="22">
        <v>335800</v>
      </c>
      <c r="Z264" s="22">
        <v>-3.8885999999999999E-3</v>
      </c>
    </row>
    <row r="265" spans="19:26" ht="16" x14ac:dyDescent="0.2">
      <c r="S265" s="23">
        <v>42521</v>
      </c>
      <c r="T265" s="22">
        <v>15.4099998</v>
      </c>
      <c r="U265" s="22">
        <v>15.7299995</v>
      </c>
      <c r="V265" s="22">
        <v>15.359999699999999</v>
      </c>
      <c r="W265" s="22">
        <v>15.46</v>
      </c>
      <c r="X265" s="22">
        <v>9.9828834499999992</v>
      </c>
      <c r="Y265" s="22">
        <v>350400</v>
      </c>
      <c r="Z265" s="22">
        <v>5.8556499999999996E-3</v>
      </c>
    </row>
    <row r="266" spans="19:26" ht="16" x14ac:dyDescent="0.2">
      <c r="S266" s="23">
        <v>42522</v>
      </c>
      <c r="T266" s="22">
        <v>15.4300003</v>
      </c>
      <c r="U266" s="22">
        <v>15.5900002</v>
      </c>
      <c r="V266" s="22">
        <v>15.079999900000001</v>
      </c>
      <c r="W266" s="22">
        <v>15.529999699999999</v>
      </c>
      <c r="X266" s="22">
        <v>10.0280819</v>
      </c>
      <c r="Y266" s="22">
        <v>467700</v>
      </c>
      <c r="Z266" s="22">
        <v>4.5275899999999997E-3</v>
      </c>
    </row>
    <row r="267" spans="19:26" ht="16" x14ac:dyDescent="0.2">
      <c r="S267" s="23">
        <v>42523</v>
      </c>
      <c r="T267" s="22">
        <v>15.4799995</v>
      </c>
      <c r="U267" s="22">
        <v>15.6899996</v>
      </c>
      <c r="V267" s="22">
        <v>15.420000099999999</v>
      </c>
      <c r="W267" s="22">
        <v>15.5100002</v>
      </c>
      <c r="X267" s="22">
        <v>10.015173000000001</v>
      </c>
      <c r="Y267" s="22">
        <v>288200</v>
      </c>
      <c r="Z267" s="22">
        <v>-1.2872999999999999E-3</v>
      </c>
    </row>
    <row r="268" spans="19:26" ht="16" x14ac:dyDescent="0.2">
      <c r="S268" s="23">
        <v>42524</v>
      </c>
      <c r="T268" s="22">
        <v>15.6300001</v>
      </c>
      <c r="U268" s="22">
        <v>16.020000499999998</v>
      </c>
      <c r="V268" s="22">
        <v>15.6199999</v>
      </c>
      <c r="W268" s="22">
        <v>15.699999800000001</v>
      </c>
      <c r="X268" s="22">
        <v>10.1378565</v>
      </c>
      <c r="Y268" s="22">
        <v>497900</v>
      </c>
      <c r="Z268" s="22">
        <v>1.224977E-2</v>
      </c>
    </row>
    <row r="269" spans="19:26" ht="16" x14ac:dyDescent="0.2">
      <c r="S269" s="23">
        <v>42527</v>
      </c>
      <c r="T269" s="22">
        <v>15.7399998</v>
      </c>
      <c r="U269" s="22">
        <v>16.030000699999999</v>
      </c>
      <c r="V269" s="22">
        <v>15.6899996</v>
      </c>
      <c r="W269" s="22">
        <v>15.96</v>
      </c>
      <c r="X269" s="22">
        <v>10.3057432</v>
      </c>
      <c r="Y269" s="22">
        <v>510100</v>
      </c>
      <c r="Z269" s="22">
        <v>1.656038E-2</v>
      </c>
    </row>
    <row r="270" spans="19:26" ht="16" x14ac:dyDescent="0.2">
      <c r="S270" s="23">
        <v>42528</v>
      </c>
      <c r="T270" s="22">
        <v>15.970000300000001</v>
      </c>
      <c r="U270" s="22">
        <v>16.280000699999999</v>
      </c>
      <c r="V270" s="22">
        <v>15.850000400000001</v>
      </c>
      <c r="W270" s="22">
        <v>16.209999100000001</v>
      </c>
      <c r="X270" s="22">
        <v>10.467173600000001</v>
      </c>
      <c r="Y270" s="22">
        <v>299900</v>
      </c>
      <c r="Z270" s="22">
        <v>1.566412E-2</v>
      </c>
    </row>
    <row r="271" spans="19:26" ht="16" x14ac:dyDescent="0.2">
      <c r="S271" s="23">
        <v>42529</v>
      </c>
      <c r="T271" s="22">
        <v>16.25</v>
      </c>
      <c r="U271" s="22">
        <v>16.780000699999999</v>
      </c>
      <c r="V271" s="22">
        <v>16.200000800000002</v>
      </c>
      <c r="W271" s="22">
        <v>16.670000099999999</v>
      </c>
      <c r="X271" s="22">
        <v>10.764207799999999</v>
      </c>
      <c r="Y271" s="22">
        <v>538300</v>
      </c>
      <c r="Z271" s="22">
        <v>2.8377699999999999E-2</v>
      </c>
    </row>
    <row r="272" spans="19:26" ht="16" x14ac:dyDescent="0.2">
      <c r="S272" s="23">
        <v>42530</v>
      </c>
      <c r="T272" s="22">
        <v>16.549999199999998</v>
      </c>
      <c r="U272" s="22">
        <v>16.6200008</v>
      </c>
      <c r="V272" s="22">
        <v>16.25</v>
      </c>
      <c r="W272" s="22">
        <v>16.579999900000001</v>
      </c>
      <c r="X272" s="22">
        <v>10.7060947</v>
      </c>
      <c r="Y272" s="22">
        <v>391300</v>
      </c>
      <c r="Z272" s="22">
        <v>-5.3987000000000002E-3</v>
      </c>
    </row>
    <row r="273" spans="19:26" ht="16" x14ac:dyDescent="0.2">
      <c r="S273" s="23">
        <v>42531</v>
      </c>
      <c r="T273" s="22">
        <v>16.389999400000001</v>
      </c>
      <c r="U273" s="22">
        <v>16.5100002</v>
      </c>
      <c r="V273" s="22">
        <v>15.670000099999999</v>
      </c>
      <c r="W273" s="22">
        <v>15.8199997</v>
      </c>
      <c r="X273" s="22">
        <v>10.215344399999999</v>
      </c>
      <c r="Y273" s="22">
        <v>557100</v>
      </c>
      <c r="Z273" s="22">
        <v>-4.5838400000000001E-2</v>
      </c>
    </row>
    <row r="274" spans="19:26" ht="16" x14ac:dyDescent="0.2">
      <c r="S274" s="23">
        <v>42534</v>
      </c>
      <c r="T274" s="22">
        <v>15.8100004</v>
      </c>
      <c r="U274" s="22">
        <v>16.0599995</v>
      </c>
      <c r="V274" s="22">
        <v>15.5900002</v>
      </c>
      <c r="W274" s="22">
        <v>15.600000400000001</v>
      </c>
      <c r="X274" s="22">
        <v>10.0732841</v>
      </c>
      <c r="Y274" s="22">
        <v>444200</v>
      </c>
      <c r="Z274" s="22">
        <v>-1.39066E-2</v>
      </c>
    </row>
    <row r="275" spans="19:26" ht="16" x14ac:dyDescent="0.2">
      <c r="S275" s="23">
        <v>42535</v>
      </c>
      <c r="T275" s="22">
        <v>15.579999900000001</v>
      </c>
      <c r="U275" s="22">
        <v>15.720000300000001</v>
      </c>
      <c r="V275" s="22">
        <v>14.970000300000001</v>
      </c>
      <c r="W275" s="22">
        <v>15.1800003</v>
      </c>
      <c r="X275" s="22">
        <v>9.8020830199999995</v>
      </c>
      <c r="Y275" s="22">
        <v>636200</v>
      </c>
      <c r="Z275" s="22">
        <v>-2.69228E-2</v>
      </c>
    </row>
    <row r="276" spans="19:26" ht="16" x14ac:dyDescent="0.2">
      <c r="S276" s="23">
        <v>42536</v>
      </c>
      <c r="T276" s="22">
        <v>15.1599998</v>
      </c>
      <c r="U276" s="22">
        <v>15.2299995</v>
      </c>
      <c r="V276" s="22">
        <v>14.8699999</v>
      </c>
      <c r="W276" s="22">
        <v>14.949999800000001</v>
      </c>
      <c r="X276" s="22">
        <v>9.6535625500000002</v>
      </c>
      <c r="Y276" s="22">
        <v>866100</v>
      </c>
      <c r="Z276" s="22">
        <v>-1.5151899999999999E-2</v>
      </c>
    </row>
    <row r="277" spans="19:26" ht="16" x14ac:dyDescent="0.2">
      <c r="S277" s="23">
        <v>42537</v>
      </c>
      <c r="T277" s="22">
        <v>14.8400002</v>
      </c>
      <c r="U277" s="22">
        <v>14.920000099999999</v>
      </c>
      <c r="V277" s="22">
        <v>14.6199999</v>
      </c>
      <c r="W277" s="22">
        <v>14.7299995</v>
      </c>
      <c r="X277" s="22">
        <v>9.5115051299999998</v>
      </c>
      <c r="Y277" s="22">
        <v>578400</v>
      </c>
      <c r="Z277" s="22">
        <v>-1.4715499999999999E-2</v>
      </c>
    </row>
    <row r="278" spans="19:26" ht="16" x14ac:dyDescent="0.2">
      <c r="S278" s="23">
        <v>42538</v>
      </c>
      <c r="T278" s="22">
        <v>14.6300001</v>
      </c>
      <c r="U278" s="22">
        <v>15.0699997</v>
      </c>
      <c r="V278" s="22">
        <v>14.5600004</v>
      </c>
      <c r="W278" s="22">
        <v>14.9799995</v>
      </c>
      <c r="X278" s="22">
        <v>9.6729345299999991</v>
      </c>
      <c r="Y278" s="22">
        <v>1160800</v>
      </c>
      <c r="Z278" s="22">
        <v>1.6972009999999999E-2</v>
      </c>
    </row>
    <row r="279" spans="19:26" ht="16" x14ac:dyDescent="0.2">
      <c r="S279" s="23">
        <v>42541</v>
      </c>
      <c r="T279" s="22">
        <v>15</v>
      </c>
      <c r="U279" s="22">
        <v>15.199999800000001</v>
      </c>
      <c r="V279" s="22">
        <v>14.8100004</v>
      </c>
      <c r="W279" s="22">
        <v>14.8199997</v>
      </c>
      <c r="X279" s="22">
        <v>9.5696191800000001</v>
      </c>
      <c r="Y279" s="22">
        <v>739300</v>
      </c>
      <c r="Z279" s="22">
        <v>-1.06809E-2</v>
      </c>
    </row>
    <row r="280" spans="19:26" ht="16" x14ac:dyDescent="0.2">
      <c r="S280" s="23">
        <v>42542</v>
      </c>
      <c r="T280" s="22">
        <v>14.9099998</v>
      </c>
      <c r="U280" s="22">
        <v>14.970000300000001</v>
      </c>
      <c r="V280" s="22">
        <v>14.5100002</v>
      </c>
      <c r="W280" s="22">
        <v>14.529999699999999</v>
      </c>
      <c r="X280" s="22">
        <v>9.3823594999999997</v>
      </c>
      <c r="Y280" s="22">
        <v>548300</v>
      </c>
      <c r="Z280" s="22">
        <v>-1.9568100000000001E-2</v>
      </c>
    </row>
    <row r="281" spans="19:26" ht="16" x14ac:dyDescent="0.2">
      <c r="S281" s="23">
        <v>42543</v>
      </c>
      <c r="T281" s="22">
        <v>14.550000199999999</v>
      </c>
      <c r="U281" s="22">
        <v>14.829999900000001</v>
      </c>
      <c r="V281" s="22">
        <v>14.329999900000001</v>
      </c>
      <c r="W281" s="22">
        <v>14.4799995</v>
      </c>
      <c r="X281" s="22">
        <v>9.3500757199999995</v>
      </c>
      <c r="Y281" s="22">
        <v>698200</v>
      </c>
      <c r="Z281" s="22">
        <v>-3.4409000000000002E-3</v>
      </c>
    </row>
    <row r="282" spans="19:26" ht="16" x14ac:dyDescent="0.2">
      <c r="S282" s="23">
        <v>42544</v>
      </c>
      <c r="T282" s="22">
        <v>14.6199999</v>
      </c>
      <c r="U282" s="22">
        <v>14.970000300000001</v>
      </c>
      <c r="V282" s="22">
        <v>14.5200005</v>
      </c>
      <c r="W282" s="22">
        <v>14.9099998</v>
      </c>
      <c r="X282" s="22">
        <v>9.6277351400000004</v>
      </c>
      <c r="Y282" s="22">
        <v>781000</v>
      </c>
      <c r="Z282" s="22">
        <v>2.9695949999999999E-2</v>
      </c>
    </row>
    <row r="283" spans="19:26" ht="16" x14ac:dyDescent="0.2">
      <c r="S283" s="23">
        <v>42545</v>
      </c>
      <c r="T283" s="22">
        <v>14.29</v>
      </c>
      <c r="U283" s="22">
        <v>14.7600002</v>
      </c>
      <c r="V283" s="22">
        <v>14.029999699999999</v>
      </c>
      <c r="W283" s="22">
        <v>14.699999800000001</v>
      </c>
      <c r="X283" s="22">
        <v>9.4921350499999999</v>
      </c>
      <c r="Y283" s="22">
        <v>1136400</v>
      </c>
      <c r="Z283" s="22">
        <v>-1.4084299999999999E-2</v>
      </c>
    </row>
    <row r="284" spans="19:26" ht="16" x14ac:dyDescent="0.2">
      <c r="S284" s="23">
        <v>42548</v>
      </c>
      <c r="T284" s="22">
        <v>14.54</v>
      </c>
      <c r="U284" s="22">
        <v>14.6599998</v>
      </c>
      <c r="V284" s="22">
        <v>14.0600004</v>
      </c>
      <c r="W284" s="22">
        <v>14.5900002</v>
      </c>
      <c r="X284" s="22">
        <v>9.4211025199999998</v>
      </c>
      <c r="Y284" s="22">
        <v>931300</v>
      </c>
      <c r="Z284" s="22">
        <v>-7.4833E-3</v>
      </c>
    </row>
    <row r="285" spans="19:26" ht="16" x14ac:dyDescent="0.2">
      <c r="S285" s="23">
        <v>42549</v>
      </c>
      <c r="T285" s="22">
        <v>14.79</v>
      </c>
      <c r="U285" s="22">
        <v>15.220000300000001</v>
      </c>
      <c r="V285" s="22">
        <v>14.6300001</v>
      </c>
      <c r="W285" s="22">
        <v>15.199999800000001</v>
      </c>
      <c r="X285" s="22">
        <v>9.8149957699999995</v>
      </c>
      <c r="Y285" s="22">
        <v>501600</v>
      </c>
      <c r="Z285" s="22">
        <v>4.1809680000000002E-2</v>
      </c>
    </row>
    <row r="286" spans="19:26" ht="16" x14ac:dyDescent="0.2">
      <c r="S286" s="23">
        <v>42550</v>
      </c>
      <c r="T286" s="22">
        <v>15.420000099999999</v>
      </c>
      <c r="U286" s="22">
        <v>15.699999800000001</v>
      </c>
      <c r="V286" s="22">
        <v>15.21</v>
      </c>
      <c r="W286" s="22">
        <v>15.640000300000001</v>
      </c>
      <c r="X286" s="22">
        <v>10.099114399999999</v>
      </c>
      <c r="Y286" s="22">
        <v>1274200</v>
      </c>
      <c r="Z286" s="22">
        <v>2.8947400000000002E-2</v>
      </c>
    </row>
    <row r="287" spans="19:26" ht="16" x14ac:dyDescent="0.2">
      <c r="S287" s="23">
        <v>42551</v>
      </c>
      <c r="T287" s="22">
        <v>15.6599998</v>
      </c>
      <c r="U287" s="22">
        <v>15.7600002</v>
      </c>
      <c r="V287" s="22">
        <v>15.4399996</v>
      </c>
      <c r="W287" s="22">
        <v>15.5900002</v>
      </c>
      <c r="X287" s="22">
        <v>10.0668259</v>
      </c>
      <c r="Y287" s="22">
        <v>753300</v>
      </c>
      <c r="Z287" s="22">
        <v>-3.1971999999999999E-3</v>
      </c>
    </row>
    <row r="288" spans="19:26" ht="16" x14ac:dyDescent="0.2">
      <c r="S288" s="23">
        <v>42552</v>
      </c>
      <c r="T288" s="22">
        <v>15.5</v>
      </c>
      <c r="U288" s="22">
        <v>16.0100002</v>
      </c>
      <c r="V288" s="22">
        <v>15.5</v>
      </c>
      <c r="W288" s="22">
        <v>16</v>
      </c>
      <c r="X288" s="22">
        <v>10.3315725</v>
      </c>
      <c r="Y288" s="22">
        <v>319000</v>
      </c>
      <c r="Z288" s="22">
        <v>2.629892E-2</v>
      </c>
    </row>
    <row r="289" spans="19:26" ht="16" x14ac:dyDescent="0.2">
      <c r="S289" s="23">
        <v>42556</v>
      </c>
      <c r="T289" s="22">
        <v>15.949999800000001</v>
      </c>
      <c r="U289" s="22">
        <v>15.970000300000001</v>
      </c>
      <c r="V289" s="22">
        <v>15.449999800000001</v>
      </c>
      <c r="W289" s="22">
        <v>15.720000300000001</v>
      </c>
      <c r="X289" s="22">
        <v>10.1507711</v>
      </c>
      <c r="Y289" s="22">
        <v>299000</v>
      </c>
      <c r="Z289" s="22">
        <v>-1.7499899999999999E-2</v>
      </c>
    </row>
    <row r="290" spans="19:26" ht="16" x14ac:dyDescent="0.2">
      <c r="S290" s="23">
        <v>42557</v>
      </c>
      <c r="T290" s="22">
        <v>15.6199999</v>
      </c>
      <c r="U290" s="22">
        <v>15.829999900000001</v>
      </c>
      <c r="V290" s="22">
        <v>15.399999599999999</v>
      </c>
      <c r="W290" s="22">
        <v>15.5600004</v>
      </c>
      <c r="X290" s="22">
        <v>10.0474558</v>
      </c>
      <c r="Y290" s="22">
        <v>338900</v>
      </c>
      <c r="Z290" s="22">
        <v>-1.0178100000000001E-2</v>
      </c>
    </row>
    <row r="291" spans="19:26" ht="16" x14ac:dyDescent="0.2">
      <c r="S291" s="23">
        <v>42558</v>
      </c>
      <c r="T291" s="22">
        <v>15.5100002</v>
      </c>
      <c r="U291" s="22">
        <v>15.8100004</v>
      </c>
      <c r="V291" s="22">
        <v>15.329999900000001</v>
      </c>
      <c r="W291" s="22">
        <v>15.5200005</v>
      </c>
      <c r="X291" s="22">
        <v>10.021624600000001</v>
      </c>
      <c r="Y291" s="22">
        <v>289300</v>
      </c>
      <c r="Z291" s="22">
        <v>-2.5709000000000001E-3</v>
      </c>
    </row>
    <row r="292" spans="19:26" ht="16" x14ac:dyDescent="0.2">
      <c r="S292" s="23">
        <v>42559</v>
      </c>
      <c r="T292" s="22">
        <v>15.6599998</v>
      </c>
      <c r="U292" s="22">
        <v>15.9099998</v>
      </c>
      <c r="V292" s="22">
        <v>15.579999900000001</v>
      </c>
      <c r="W292" s="22">
        <v>15.8400002</v>
      </c>
      <c r="X292" s="22">
        <v>10.2282581</v>
      </c>
      <c r="Y292" s="22">
        <v>588500</v>
      </c>
      <c r="Z292" s="22">
        <v>2.0618770000000002E-2</v>
      </c>
    </row>
    <row r="293" spans="19:26" ht="16" x14ac:dyDescent="0.2">
      <c r="S293" s="23">
        <v>42562</v>
      </c>
      <c r="T293" s="22">
        <v>15.850000400000001</v>
      </c>
      <c r="U293" s="22">
        <v>16.459999100000001</v>
      </c>
      <c r="V293" s="22">
        <v>15.75</v>
      </c>
      <c r="W293" s="22">
        <v>16.290000899999999</v>
      </c>
      <c r="X293" s="22">
        <v>10.5188322</v>
      </c>
      <c r="Y293" s="22">
        <v>724100</v>
      </c>
      <c r="Z293" s="22">
        <v>2.8408949999999999E-2</v>
      </c>
    </row>
    <row r="294" spans="19:26" ht="16" x14ac:dyDescent="0.2">
      <c r="S294" s="23">
        <v>42563</v>
      </c>
      <c r="T294" s="22">
        <v>16.399999600000001</v>
      </c>
      <c r="U294" s="22">
        <v>16.639999400000001</v>
      </c>
      <c r="V294" s="22">
        <v>16.1299992</v>
      </c>
      <c r="W294" s="22">
        <v>16.1800003</v>
      </c>
      <c r="X294" s="22">
        <v>10.447803499999999</v>
      </c>
      <c r="Y294" s="22">
        <v>425600</v>
      </c>
      <c r="Z294" s="22">
        <v>-6.7524999999999998E-3</v>
      </c>
    </row>
    <row r="295" spans="19:26" ht="16" x14ac:dyDescent="0.2">
      <c r="S295" s="23">
        <v>42564</v>
      </c>
      <c r="T295" s="22">
        <v>16.229999500000002</v>
      </c>
      <c r="U295" s="22">
        <v>16.3199997</v>
      </c>
      <c r="V295" s="22">
        <v>15.8800001</v>
      </c>
      <c r="W295" s="22">
        <v>15.96</v>
      </c>
      <c r="X295" s="22">
        <v>10.3057432</v>
      </c>
      <c r="Y295" s="22">
        <v>497200</v>
      </c>
      <c r="Z295" s="22">
        <v>-1.3597100000000001E-2</v>
      </c>
    </row>
    <row r="296" spans="19:26" ht="16" x14ac:dyDescent="0.2">
      <c r="S296" s="23">
        <v>42565</v>
      </c>
      <c r="T296" s="22">
        <v>15.96</v>
      </c>
      <c r="U296" s="22">
        <v>16.3799992</v>
      </c>
      <c r="V296" s="22">
        <v>15.949999800000001</v>
      </c>
      <c r="W296" s="22">
        <v>16.100000399999999</v>
      </c>
      <c r="X296" s="22">
        <v>10.396144899999999</v>
      </c>
      <c r="Y296" s="22">
        <v>1427300</v>
      </c>
      <c r="Z296" s="22">
        <v>8.7719700000000005E-3</v>
      </c>
    </row>
    <row r="297" spans="19:26" ht="16" x14ac:dyDescent="0.2">
      <c r="S297" s="23">
        <v>42566</v>
      </c>
      <c r="T297" s="22">
        <v>16.1800003</v>
      </c>
      <c r="U297" s="22">
        <v>16.700000800000002</v>
      </c>
      <c r="V297" s="22">
        <v>16.049999199999998</v>
      </c>
      <c r="W297" s="22">
        <v>16.540000899999999</v>
      </c>
      <c r="X297" s="22">
        <v>10.6802654</v>
      </c>
      <c r="Y297" s="22">
        <v>788200</v>
      </c>
      <c r="Z297" s="22">
        <v>2.732942E-2</v>
      </c>
    </row>
    <row r="298" spans="19:26" ht="16" x14ac:dyDescent="0.2">
      <c r="S298" s="23">
        <v>42569</v>
      </c>
      <c r="T298" s="22">
        <v>16.5</v>
      </c>
      <c r="U298" s="22">
        <v>16.7399998</v>
      </c>
      <c r="V298" s="22">
        <v>16.329999900000001</v>
      </c>
      <c r="W298" s="22">
        <v>16.639999400000001</v>
      </c>
      <c r="X298" s="22">
        <v>10.7448359</v>
      </c>
      <c r="Y298" s="22">
        <v>429300</v>
      </c>
      <c r="Z298" s="22">
        <v>6.0457699999999998E-3</v>
      </c>
    </row>
    <row r="299" spans="19:26" ht="16" x14ac:dyDescent="0.2">
      <c r="S299" s="23">
        <v>42570</v>
      </c>
      <c r="T299" s="22">
        <v>16.5699997</v>
      </c>
      <c r="U299" s="22">
        <v>16.6200008</v>
      </c>
      <c r="V299" s="22">
        <v>16.290000899999999</v>
      </c>
      <c r="W299" s="22">
        <v>16.5699997</v>
      </c>
      <c r="X299" s="22">
        <v>10.6996365</v>
      </c>
      <c r="Y299" s="22">
        <v>484700</v>
      </c>
      <c r="Z299" s="22">
        <v>-4.2065999999999996E-3</v>
      </c>
    </row>
    <row r="300" spans="19:26" ht="16" x14ac:dyDescent="0.2">
      <c r="S300" s="23">
        <v>42571</v>
      </c>
      <c r="T300" s="22">
        <v>16.4899998</v>
      </c>
      <c r="U300" s="22">
        <v>17.5</v>
      </c>
      <c r="V300" s="22">
        <v>16.399999600000001</v>
      </c>
      <c r="W300" s="22">
        <v>17.3099995</v>
      </c>
      <c r="X300" s="22">
        <v>11.177472099999999</v>
      </c>
      <c r="Y300" s="22">
        <v>2132400</v>
      </c>
      <c r="Z300" s="22">
        <v>4.465906E-2</v>
      </c>
    </row>
    <row r="301" spans="19:26" ht="16" x14ac:dyDescent="0.2">
      <c r="S301" s="23">
        <v>42572</v>
      </c>
      <c r="T301" s="22">
        <v>17.360000599999999</v>
      </c>
      <c r="U301" s="22">
        <v>17.6900005</v>
      </c>
      <c r="V301" s="22">
        <v>17.139999400000001</v>
      </c>
      <c r="W301" s="22">
        <v>17.600000399999999</v>
      </c>
      <c r="X301" s="22">
        <v>11.3647308</v>
      </c>
      <c r="Y301" s="22">
        <v>1463800</v>
      </c>
      <c r="Z301" s="22">
        <v>1.6753230000000001E-2</v>
      </c>
    </row>
    <row r="302" spans="19:26" ht="16" x14ac:dyDescent="0.2">
      <c r="S302" s="23">
        <v>42573</v>
      </c>
      <c r="T302" s="22">
        <v>17.590000199999999</v>
      </c>
      <c r="U302" s="22">
        <v>17.8199997</v>
      </c>
      <c r="V302" s="22">
        <v>17.399999600000001</v>
      </c>
      <c r="W302" s="22">
        <v>17.469999300000001</v>
      </c>
      <c r="X302" s="22">
        <v>11.2807865</v>
      </c>
      <c r="Y302" s="22">
        <v>734100</v>
      </c>
      <c r="Z302" s="22">
        <v>-7.3864000000000004E-3</v>
      </c>
    </row>
    <row r="303" spans="19:26" ht="16" x14ac:dyDescent="0.2">
      <c r="S303" s="23">
        <v>42576</v>
      </c>
      <c r="T303" s="22">
        <v>17.5</v>
      </c>
      <c r="U303" s="22">
        <v>18.3799992</v>
      </c>
      <c r="V303" s="22">
        <v>17.459999100000001</v>
      </c>
      <c r="W303" s="22">
        <v>18.270000499999998</v>
      </c>
      <c r="X303" s="22">
        <v>11.7973661</v>
      </c>
      <c r="Y303" s="22">
        <v>1317000</v>
      </c>
      <c r="Z303" s="22">
        <v>4.5792869999999999E-2</v>
      </c>
    </row>
    <row r="304" spans="19:26" ht="16" x14ac:dyDescent="0.2">
      <c r="S304" s="23">
        <v>42577</v>
      </c>
      <c r="T304" s="22">
        <v>18.340000199999999</v>
      </c>
      <c r="U304" s="22">
        <v>18.5599995</v>
      </c>
      <c r="V304" s="22">
        <v>17.9899998</v>
      </c>
      <c r="W304" s="22">
        <v>18.290000899999999</v>
      </c>
      <c r="X304" s="22">
        <v>11.810277900000001</v>
      </c>
      <c r="Y304" s="22">
        <v>1168600</v>
      </c>
      <c r="Z304" s="22">
        <v>1.09446E-3</v>
      </c>
    </row>
    <row r="305" spans="19:26" ht="16" x14ac:dyDescent="0.2">
      <c r="S305" s="23">
        <v>42578</v>
      </c>
      <c r="T305" s="22">
        <v>18.3799992</v>
      </c>
      <c r="U305" s="22">
        <v>18.4300003</v>
      </c>
      <c r="V305" s="22">
        <v>17.7600002</v>
      </c>
      <c r="W305" s="22">
        <v>17.899999600000001</v>
      </c>
      <c r="X305" s="22">
        <v>11.558445000000001</v>
      </c>
      <c r="Y305" s="22">
        <v>653000</v>
      </c>
      <c r="Z305" s="22">
        <v>-2.13232E-2</v>
      </c>
    </row>
    <row r="306" spans="19:26" ht="16" x14ac:dyDescent="0.2">
      <c r="S306" s="23">
        <v>42579</v>
      </c>
      <c r="T306" s="22">
        <v>17.950000800000002</v>
      </c>
      <c r="U306" s="22">
        <v>18.0599995</v>
      </c>
      <c r="V306" s="22">
        <v>17.850000399999999</v>
      </c>
      <c r="W306" s="22">
        <v>17.959999100000001</v>
      </c>
      <c r="X306" s="22">
        <v>11.597191799999999</v>
      </c>
      <c r="Y306" s="22">
        <v>416400</v>
      </c>
      <c r="Z306" s="22">
        <v>3.3522500000000002E-3</v>
      </c>
    </row>
    <row r="307" spans="19:26" ht="16" x14ac:dyDescent="0.2">
      <c r="S307" s="23">
        <v>42580</v>
      </c>
      <c r="T307" s="22">
        <v>17.9899998</v>
      </c>
      <c r="U307" s="22">
        <v>18.090000199999999</v>
      </c>
      <c r="V307" s="22">
        <v>17.8099995</v>
      </c>
      <c r="W307" s="22">
        <v>17.9400005</v>
      </c>
      <c r="X307" s="22">
        <v>11.5842762</v>
      </c>
      <c r="Y307" s="22">
        <v>497300</v>
      </c>
      <c r="Z307" s="22">
        <v>-1.1137E-3</v>
      </c>
    </row>
    <row r="308" spans="19:26" ht="16" x14ac:dyDescent="0.2">
      <c r="S308" s="23">
        <v>42583</v>
      </c>
      <c r="T308" s="22">
        <v>17.899999600000001</v>
      </c>
      <c r="U308" s="22">
        <v>17.969999300000001</v>
      </c>
      <c r="V308" s="22">
        <v>17.5</v>
      </c>
      <c r="W308" s="22">
        <v>17.5599995</v>
      </c>
      <c r="X308" s="22">
        <v>11.338900600000001</v>
      </c>
      <c r="Y308" s="22">
        <v>466200</v>
      </c>
      <c r="Z308" s="22">
        <v>-2.1181800000000001E-2</v>
      </c>
    </row>
    <row r="309" spans="19:26" ht="16" x14ac:dyDescent="0.2">
      <c r="S309" s="23">
        <v>42584</v>
      </c>
      <c r="T309" s="22">
        <v>17.6200008</v>
      </c>
      <c r="U309" s="22">
        <v>17.729999500000002</v>
      </c>
      <c r="V309" s="22">
        <v>17.280000699999999</v>
      </c>
      <c r="W309" s="22">
        <v>17.520000499999998</v>
      </c>
      <c r="X309" s="22">
        <v>11.3130703</v>
      </c>
      <c r="Y309" s="22">
        <v>382000</v>
      </c>
      <c r="Z309" s="22">
        <v>-2.2780000000000001E-3</v>
      </c>
    </row>
    <row r="310" spans="19:26" ht="16" x14ac:dyDescent="0.2">
      <c r="S310" s="23">
        <v>42585</v>
      </c>
      <c r="T310" s="22">
        <v>17.520000499999998</v>
      </c>
      <c r="U310" s="22">
        <v>18.1299992</v>
      </c>
      <c r="V310" s="22">
        <v>17.2600002</v>
      </c>
      <c r="W310" s="22">
        <v>17.959999100000001</v>
      </c>
      <c r="X310" s="22">
        <v>11.597191799999999</v>
      </c>
      <c r="Y310" s="22">
        <v>461300</v>
      </c>
      <c r="Z310" s="22">
        <v>2.511445E-2</v>
      </c>
    </row>
    <row r="311" spans="19:26" ht="16" x14ac:dyDescent="0.2">
      <c r="S311" s="23">
        <v>42586</v>
      </c>
      <c r="T311" s="22">
        <v>17.9300003</v>
      </c>
      <c r="U311" s="22">
        <v>18.219999300000001</v>
      </c>
      <c r="V311" s="22">
        <v>17.840000199999999</v>
      </c>
      <c r="W311" s="22">
        <v>18.020000499999998</v>
      </c>
      <c r="X311" s="22">
        <v>11.6359358</v>
      </c>
      <c r="Y311" s="22">
        <v>366400</v>
      </c>
      <c r="Z311" s="22">
        <v>3.34081E-3</v>
      </c>
    </row>
    <row r="312" spans="19:26" ht="16" x14ac:dyDescent="0.2">
      <c r="S312" s="23">
        <v>42587</v>
      </c>
      <c r="T312" s="22">
        <v>18.030000699999999</v>
      </c>
      <c r="U312" s="22">
        <v>18.280000699999999</v>
      </c>
      <c r="V312" s="22">
        <v>17.8199997</v>
      </c>
      <c r="W312" s="22">
        <v>18.079999900000001</v>
      </c>
      <c r="X312" s="22">
        <v>11.674681700000001</v>
      </c>
      <c r="Y312" s="22">
        <v>466500</v>
      </c>
      <c r="Z312" s="22">
        <v>3.3298500000000001E-3</v>
      </c>
    </row>
    <row r="313" spans="19:26" ht="16" x14ac:dyDescent="0.2">
      <c r="S313" s="23">
        <v>42590</v>
      </c>
      <c r="T313" s="22">
        <v>18.049999199999998</v>
      </c>
      <c r="U313" s="22">
        <v>18.329999900000001</v>
      </c>
      <c r="V313" s="22">
        <v>17.729999500000002</v>
      </c>
      <c r="W313" s="22">
        <v>17.770000499999998</v>
      </c>
      <c r="X313" s="22">
        <v>11.474503500000001</v>
      </c>
      <c r="Y313" s="22">
        <v>477100</v>
      </c>
      <c r="Z313" s="22">
        <v>-1.71463E-2</v>
      </c>
    </row>
    <row r="314" spans="19:26" ht="16" x14ac:dyDescent="0.2">
      <c r="S314" s="23">
        <v>42591</v>
      </c>
      <c r="T314" s="22">
        <v>17.700000800000002</v>
      </c>
      <c r="U314" s="22">
        <v>17.700000800000002</v>
      </c>
      <c r="V314" s="22">
        <v>16.790000899999999</v>
      </c>
      <c r="W314" s="22">
        <v>17.1800003</v>
      </c>
      <c r="X314" s="22">
        <v>11.093530700000001</v>
      </c>
      <c r="Y314" s="22">
        <v>1258000</v>
      </c>
      <c r="Z314" s="22">
        <v>-3.3201700000000001E-2</v>
      </c>
    </row>
    <row r="315" spans="19:26" ht="16" x14ac:dyDescent="0.2">
      <c r="S315" s="23">
        <v>42592</v>
      </c>
      <c r="T315" s="22">
        <v>17.079999900000001</v>
      </c>
      <c r="U315" s="22">
        <v>17.4899998</v>
      </c>
      <c r="V315" s="22">
        <v>16.610000599999999</v>
      </c>
      <c r="W315" s="22">
        <v>17.090000199999999</v>
      </c>
      <c r="X315" s="22">
        <v>11.035409899999999</v>
      </c>
      <c r="Y315" s="22">
        <v>915300</v>
      </c>
      <c r="Z315" s="22">
        <v>-5.2392000000000003E-3</v>
      </c>
    </row>
    <row r="316" spans="19:26" ht="16" x14ac:dyDescent="0.2">
      <c r="S316" s="23">
        <v>42593</v>
      </c>
      <c r="T316" s="22">
        <v>17.100000399999999</v>
      </c>
      <c r="U316" s="22">
        <v>17.670000099999999</v>
      </c>
      <c r="V316" s="22">
        <v>17.100000399999999</v>
      </c>
      <c r="W316" s="22">
        <v>17.659999800000001</v>
      </c>
      <c r="X316" s="22">
        <v>11.4034748</v>
      </c>
      <c r="Y316" s="22">
        <v>640100</v>
      </c>
      <c r="Z316" s="22">
        <v>3.335308E-2</v>
      </c>
    </row>
    <row r="317" spans="19:26" ht="16" x14ac:dyDescent="0.2">
      <c r="S317" s="23">
        <v>42594</v>
      </c>
      <c r="T317" s="22">
        <v>17.659999800000001</v>
      </c>
      <c r="U317" s="22">
        <v>17.8799992</v>
      </c>
      <c r="V317" s="22">
        <v>17.350000399999999</v>
      </c>
      <c r="W317" s="22">
        <v>17.549999199999998</v>
      </c>
      <c r="X317" s="22">
        <v>11.332444199999999</v>
      </c>
      <c r="Y317" s="22">
        <v>365500</v>
      </c>
      <c r="Z317" s="22">
        <v>-6.2288999999999999E-3</v>
      </c>
    </row>
    <row r="318" spans="19:26" ht="16" x14ac:dyDescent="0.2">
      <c r="S318" s="23">
        <v>42597</v>
      </c>
      <c r="T318" s="22">
        <v>17.549999199999998</v>
      </c>
      <c r="U318" s="22">
        <v>17.7600002</v>
      </c>
      <c r="V318" s="22">
        <v>17.399999600000001</v>
      </c>
      <c r="W318" s="22">
        <v>17.5599995</v>
      </c>
      <c r="X318" s="22">
        <v>11.338900600000001</v>
      </c>
      <c r="Y318" s="22">
        <v>687600</v>
      </c>
      <c r="Z318" s="22">
        <v>5.6972000000000001E-4</v>
      </c>
    </row>
    <row r="319" spans="19:26" ht="16" x14ac:dyDescent="0.2">
      <c r="S319" s="23">
        <v>42598</v>
      </c>
      <c r="T319" s="22">
        <v>17.590000199999999</v>
      </c>
      <c r="U319" s="22">
        <v>17.590000199999999</v>
      </c>
      <c r="V319" s="22">
        <v>17.049999199999998</v>
      </c>
      <c r="W319" s="22">
        <v>17.0699997</v>
      </c>
      <c r="X319" s="22">
        <v>11.0224981</v>
      </c>
      <c r="Y319" s="22">
        <v>622600</v>
      </c>
      <c r="Z319" s="22">
        <v>-2.7904200000000001E-2</v>
      </c>
    </row>
    <row r="320" spans="19:26" ht="16" x14ac:dyDescent="0.2">
      <c r="S320" s="23">
        <v>42599</v>
      </c>
      <c r="T320" s="22">
        <v>17.020000499999998</v>
      </c>
      <c r="U320" s="22">
        <v>17.0599995</v>
      </c>
      <c r="V320" s="22">
        <v>16.610000599999999</v>
      </c>
      <c r="W320" s="22">
        <v>16.799999199999998</v>
      </c>
      <c r="X320" s="22">
        <v>10.848153099999999</v>
      </c>
      <c r="Y320" s="22">
        <v>859900</v>
      </c>
      <c r="Z320" s="22">
        <v>-1.58172E-2</v>
      </c>
    </row>
    <row r="321" spans="19:26" ht="16" x14ac:dyDescent="0.2">
      <c r="S321" s="23">
        <v>42600</v>
      </c>
      <c r="T321" s="22">
        <v>16.8099995</v>
      </c>
      <c r="U321" s="22">
        <v>16.9300003</v>
      </c>
      <c r="V321" s="22">
        <v>16.610000599999999</v>
      </c>
      <c r="W321" s="22">
        <v>16.75</v>
      </c>
      <c r="X321" s="22">
        <v>10.815864599999999</v>
      </c>
      <c r="Y321" s="22">
        <v>558700</v>
      </c>
      <c r="Z321" s="22">
        <v>-2.9764000000000001E-3</v>
      </c>
    </row>
    <row r="322" spans="19:26" ht="16" x14ac:dyDescent="0.2">
      <c r="S322" s="23">
        <v>42601</v>
      </c>
      <c r="T322" s="22">
        <v>16.659999800000001</v>
      </c>
      <c r="U322" s="22">
        <v>17</v>
      </c>
      <c r="V322" s="22">
        <v>16.5699997</v>
      </c>
      <c r="W322" s="22">
        <v>16.889999400000001</v>
      </c>
      <c r="X322" s="22">
        <v>10.906269099999999</v>
      </c>
      <c r="Y322" s="22">
        <v>714500</v>
      </c>
      <c r="Z322" s="22">
        <v>8.3585099999999996E-3</v>
      </c>
    </row>
    <row r="323" spans="19:26" ht="16" x14ac:dyDescent="0.2">
      <c r="S323" s="23">
        <v>42604</v>
      </c>
      <c r="T323" s="22">
        <v>16.889999400000001</v>
      </c>
      <c r="U323" s="22">
        <v>16.979999500000002</v>
      </c>
      <c r="V323" s="22">
        <v>16.700000800000002</v>
      </c>
      <c r="W323" s="22">
        <v>16.909999800000001</v>
      </c>
      <c r="X323" s="22">
        <v>10.9191818</v>
      </c>
      <c r="Y323" s="22">
        <v>367900</v>
      </c>
      <c r="Z323" s="22">
        <v>1.1839800000000001E-3</v>
      </c>
    </row>
    <row r="324" spans="19:26" ht="16" x14ac:dyDescent="0.2">
      <c r="S324" s="23">
        <v>42605</v>
      </c>
      <c r="T324" s="22">
        <v>17.0699997</v>
      </c>
      <c r="U324" s="22">
        <v>17.799999199999998</v>
      </c>
      <c r="V324" s="22">
        <v>17.0699997</v>
      </c>
      <c r="W324" s="22">
        <v>17.299999199999998</v>
      </c>
      <c r="X324" s="22">
        <v>11.171013800000001</v>
      </c>
      <c r="Y324" s="22">
        <v>905800</v>
      </c>
      <c r="Z324" s="22">
        <v>2.306327E-2</v>
      </c>
    </row>
    <row r="325" spans="19:26" ht="16" x14ac:dyDescent="0.2">
      <c r="S325" s="23">
        <v>42606</v>
      </c>
      <c r="T325" s="22">
        <v>17.329999900000001</v>
      </c>
      <c r="U325" s="22">
        <v>17.649999600000001</v>
      </c>
      <c r="V325" s="22">
        <v>17.139999400000001</v>
      </c>
      <c r="W325" s="22">
        <v>17.290000899999999</v>
      </c>
      <c r="X325" s="22">
        <v>11.1645565</v>
      </c>
      <c r="Y325" s="22">
        <v>806100</v>
      </c>
      <c r="Z325" s="22">
        <v>-5.7799999999999995E-4</v>
      </c>
    </row>
    <row r="326" spans="19:26" ht="16" x14ac:dyDescent="0.2">
      <c r="S326" s="23">
        <v>42607</v>
      </c>
      <c r="T326" s="22">
        <v>17.3099995</v>
      </c>
      <c r="U326" s="22">
        <v>17.600000399999999</v>
      </c>
      <c r="V326" s="22">
        <v>17.1299992</v>
      </c>
      <c r="W326" s="22">
        <v>17.4400005</v>
      </c>
      <c r="X326" s="22">
        <v>11.2614164</v>
      </c>
      <c r="Y326" s="22">
        <v>588700</v>
      </c>
      <c r="Z326" s="22">
        <v>8.67566E-3</v>
      </c>
    </row>
    <row r="327" spans="19:26" ht="16" x14ac:dyDescent="0.2">
      <c r="S327" s="23">
        <v>42608</v>
      </c>
      <c r="T327" s="22">
        <v>17.5599995</v>
      </c>
      <c r="U327" s="22">
        <v>17.950000800000002</v>
      </c>
      <c r="V327" s="22">
        <v>17.360000599999999</v>
      </c>
      <c r="W327" s="22">
        <v>17.520000499999998</v>
      </c>
      <c r="X327" s="22">
        <v>11.3130703</v>
      </c>
      <c r="Y327" s="22">
        <v>580100</v>
      </c>
      <c r="Z327" s="22">
        <v>4.5868000000000003E-3</v>
      </c>
    </row>
    <row r="328" spans="19:26" ht="16" x14ac:dyDescent="0.2">
      <c r="S328" s="23">
        <v>42611</v>
      </c>
      <c r="T328" s="22">
        <v>17.520000499999998</v>
      </c>
      <c r="U328" s="22">
        <v>17.6900005</v>
      </c>
      <c r="V328" s="22">
        <v>17.3700008</v>
      </c>
      <c r="W328" s="22">
        <v>17.639999400000001</v>
      </c>
      <c r="X328" s="22">
        <v>11.390561099999999</v>
      </c>
      <c r="Y328" s="22">
        <v>652400</v>
      </c>
      <c r="Z328" s="22">
        <v>6.8496700000000004E-3</v>
      </c>
    </row>
    <row r="329" spans="19:26" ht="16" x14ac:dyDescent="0.2">
      <c r="S329" s="23">
        <v>42612</v>
      </c>
      <c r="T329" s="22">
        <v>17.3700008</v>
      </c>
      <c r="U329" s="22">
        <v>17.469999300000001</v>
      </c>
      <c r="V329" s="22">
        <v>16.9899998</v>
      </c>
      <c r="W329" s="22">
        <v>17.049999199999998</v>
      </c>
      <c r="X329" s="22">
        <v>11.1614389</v>
      </c>
      <c r="Y329" s="22">
        <v>431800</v>
      </c>
      <c r="Z329" s="22">
        <v>-2.01151E-2</v>
      </c>
    </row>
    <row r="330" spans="19:26" ht="16" x14ac:dyDescent="0.2">
      <c r="S330" s="23">
        <v>42613</v>
      </c>
      <c r="T330" s="22">
        <v>17.0699997</v>
      </c>
      <c r="U330" s="22">
        <v>17.219999300000001</v>
      </c>
      <c r="V330" s="22">
        <v>16.5599995</v>
      </c>
      <c r="W330" s="22">
        <v>16.840000199999999</v>
      </c>
      <c r="X330" s="22">
        <v>11.023964899999999</v>
      </c>
      <c r="Y330" s="22">
        <v>625100</v>
      </c>
      <c r="Z330" s="22">
        <v>-1.23169E-2</v>
      </c>
    </row>
    <row r="331" spans="19:26" ht="16" x14ac:dyDescent="0.2">
      <c r="S331" s="23">
        <v>42614</v>
      </c>
      <c r="T331" s="22">
        <v>16.840000199999999</v>
      </c>
      <c r="U331" s="22">
        <v>17.3199997</v>
      </c>
      <c r="V331" s="22">
        <v>16.6800003</v>
      </c>
      <c r="W331" s="22">
        <v>17.100000399999999</v>
      </c>
      <c r="X331" s="22">
        <v>11.1941729</v>
      </c>
      <c r="Y331" s="22">
        <v>689800</v>
      </c>
      <c r="Z331" s="22">
        <v>1.543981E-2</v>
      </c>
    </row>
    <row r="332" spans="19:26" ht="16" x14ac:dyDescent="0.2">
      <c r="S332" s="23">
        <v>42615</v>
      </c>
      <c r="T332" s="22">
        <v>17.1800003</v>
      </c>
      <c r="U332" s="22">
        <v>17.6200008</v>
      </c>
      <c r="V332" s="22">
        <v>17.1299992</v>
      </c>
      <c r="W332" s="22">
        <v>17.459999100000001</v>
      </c>
      <c r="X332" s="22">
        <v>11.4298372</v>
      </c>
      <c r="Y332" s="22">
        <v>358700</v>
      </c>
      <c r="Z332" s="22">
        <v>2.1052410000000001E-2</v>
      </c>
    </row>
    <row r="333" spans="19:26" ht="16" x14ac:dyDescent="0.2">
      <c r="S333" s="23">
        <v>42619</v>
      </c>
      <c r="T333" s="22">
        <v>17.479999500000002</v>
      </c>
      <c r="U333" s="22">
        <v>17.700000800000002</v>
      </c>
      <c r="V333" s="22">
        <v>17.299999199999998</v>
      </c>
      <c r="W333" s="22">
        <v>17.670000099999999</v>
      </c>
      <c r="X333" s="22">
        <v>11.567310300000001</v>
      </c>
      <c r="Y333" s="22">
        <v>444300</v>
      </c>
      <c r="Z333" s="22">
        <v>1.202756E-2</v>
      </c>
    </row>
    <row r="334" spans="19:26" ht="16" x14ac:dyDescent="0.2">
      <c r="S334" s="23">
        <v>42620</v>
      </c>
      <c r="T334" s="22">
        <v>17.75</v>
      </c>
      <c r="U334" s="22">
        <v>18.1200008</v>
      </c>
      <c r="V334" s="22">
        <v>17.6900005</v>
      </c>
      <c r="W334" s="22">
        <v>18.110000599999999</v>
      </c>
      <c r="X334" s="22">
        <v>11.855345700000001</v>
      </c>
      <c r="Y334" s="22">
        <v>483800</v>
      </c>
      <c r="Z334" s="22">
        <v>2.4900809999999999E-2</v>
      </c>
    </row>
    <row r="335" spans="19:26" ht="16" x14ac:dyDescent="0.2">
      <c r="S335" s="23">
        <v>42621</v>
      </c>
      <c r="T335" s="22">
        <v>17.790000899999999</v>
      </c>
      <c r="U335" s="22">
        <v>18.450000800000002</v>
      </c>
      <c r="V335" s="22">
        <v>17.700000800000002</v>
      </c>
      <c r="W335" s="22">
        <v>18.209999100000001</v>
      </c>
      <c r="X335" s="22">
        <v>11.920810700000001</v>
      </c>
      <c r="Y335" s="22">
        <v>955700</v>
      </c>
      <c r="Z335" s="22">
        <v>5.5219800000000001E-3</v>
      </c>
    </row>
    <row r="336" spans="19:26" ht="16" x14ac:dyDescent="0.2">
      <c r="S336" s="23">
        <v>42622</v>
      </c>
      <c r="T336" s="22">
        <v>18.049999199999998</v>
      </c>
      <c r="U336" s="22">
        <v>18.100000399999999</v>
      </c>
      <c r="V336" s="22">
        <v>17.2399998</v>
      </c>
      <c r="W336" s="22">
        <v>17.25</v>
      </c>
      <c r="X336" s="22">
        <v>11.292367</v>
      </c>
      <c r="Y336" s="22">
        <v>764500</v>
      </c>
      <c r="Z336" s="22">
        <v>-5.27182E-2</v>
      </c>
    </row>
    <row r="337" spans="19:26" ht="16" x14ac:dyDescent="0.2">
      <c r="S337" s="23">
        <v>42625</v>
      </c>
      <c r="T337" s="22">
        <v>17.159999800000001</v>
      </c>
      <c r="U337" s="22">
        <v>17.5599995</v>
      </c>
      <c r="V337" s="22">
        <v>17.020000499999998</v>
      </c>
      <c r="W337" s="22">
        <v>17.5100002</v>
      </c>
      <c r="X337" s="22">
        <v>11.4625702</v>
      </c>
      <c r="Y337" s="22">
        <v>532200</v>
      </c>
      <c r="Z337" s="22">
        <v>1.507241E-2</v>
      </c>
    </row>
    <row r="338" spans="19:26" ht="16" x14ac:dyDescent="0.2">
      <c r="S338" s="23">
        <v>42626</v>
      </c>
      <c r="T338" s="22">
        <v>17.290000899999999</v>
      </c>
      <c r="U338" s="22">
        <v>17.340000199999999</v>
      </c>
      <c r="V338" s="22">
        <v>16.3799992</v>
      </c>
      <c r="W338" s="22">
        <v>16.5</v>
      </c>
      <c r="X338" s="22">
        <v>10.8013935</v>
      </c>
      <c r="Y338" s="22">
        <v>686900</v>
      </c>
      <c r="Z338" s="22">
        <v>-5.7681400000000001E-2</v>
      </c>
    </row>
    <row r="339" spans="19:26" ht="16" x14ac:dyDescent="0.2">
      <c r="S339" s="23">
        <v>42627</v>
      </c>
      <c r="T339" s="22">
        <v>16.549999199999998</v>
      </c>
      <c r="U339" s="22">
        <v>17.090000199999999</v>
      </c>
      <c r="V339" s="22">
        <v>16.450000800000002</v>
      </c>
      <c r="W339" s="22">
        <v>17.0599995</v>
      </c>
      <c r="X339" s="22">
        <v>11.1679859</v>
      </c>
      <c r="Y339" s="22">
        <v>933800</v>
      </c>
      <c r="Z339" s="22">
        <v>3.3939360000000002E-2</v>
      </c>
    </row>
    <row r="340" spans="19:26" ht="16" x14ac:dyDescent="0.2">
      <c r="S340" s="23">
        <v>42628</v>
      </c>
      <c r="T340" s="22">
        <v>17.110000599999999</v>
      </c>
      <c r="U340" s="22">
        <v>17.3799992</v>
      </c>
      <c r="V340" s="22">
        <v>16.8799992</v>
      </c>
      <c r="W340" s="22">
        <v>17.280000699999999</v>
      </c>
      <c r="X340" s="22">
        <v>11.312001199999999</v>
      </c>
      <c r="Y340" s="22">
        <v>566200</v>
      </c>
      <c r="Z340" s="22">
        <v>1.289537E-2</v>
      </c>
    </row>
    <row r="341" spans="19:26" ht="16" x14ac:dyDescent="0.2">
      <c r="S341" s="23">
        <v>42629</v>
      </c>
      <c r="T341" s="22">
        <v>17.159999800000001</v>
      </c>
      <c r="U341" s="22">
        <v>17.25</v>
      </c>
      <c r="V341" s="22">
        <v>16.6900005</v>
      </c>
      <c r="W341" s="22">
        <v>16.700000800000002</v>
      </c>
      <c r="X341" s="22">
        <v>10.9323215</v>
      </c>
      <c r="Y341" s="22">
        <v>898300</v>
      </c>
      <c r="Z341" s="22">
        <v>-3.3564299999999998E-2</v>
      </c>
    </row>
    <row r="342" spans="19:26" ht="16" x14ac:dyDescent="0.2">
      <c r="S342" s="23">
        <v>42632</v>
      </c>
      <c r="T342" s="22">
        <v>16.860000599999999</v>
      </c>
      <c r="U342" s="22">
        <v>17.299999199999998</v>
      </c>
      <c r="V342" s="22">
        <v>16.829999900000001</v>
      </c>
      <c r="W342" s="22">
        <v>17.1800003</v>
      </c>
      <c r="X342" s="22">
        <v>11.246541000000001</v>
      </c>
      <c r="Y342" s="22">
        <v>620800</v>
      </c>
      <c r="Z342" s="22">
        <v>2.874225E-2</v>
      </c>
    </row>
    <row r="343" spans="19:26" ht="16" x14ac:dyDescent="0.2">
      <c r="S343" s="23">
        <v>42633</v>
      </c>
      <c r="T343" s="22">
        <v>17.1800003</v>
      </c>
      <c r="U343" s="22">
        <v>17.340000199999999</v>
      </c>
      <c r="V343" s="22">
        <v>17.079999900000001</v>
      </c>
      <c r="W343" s="22">
        <v>17.1299992</v>
      </c>
      <c r="X343" s="22">
        <v>11.2138109</v>
      </c>
      <c r="Y343" s="22">
        <v>416200</v>
      </c>
      <c r="Z343" s="22">
        <v>-2.9101999999999999E-3</v>
      </c>
    </row>
    <row r="344" spans="19:26" ht="16" x14ac:dyDescent="0.2">
      <c r="S344" s="23">
        <v>42634</v>
      </c>
      <c r="T344" s="22">
        <v>17.2399998</v>
      </c>
      <c r="U344" s="22">
        <v>17.729999500000002</v>
      </c>
      <c r="V344" s="22">
        <v>17.2399998</v>
      </c>
      <c r="W344" s="22">
        <v>17.719999300000001</v>
      </c>
      <c r="X344" s="22">
        <v>11.6000385</v>
      </c>
      <c r="Y344" s="22">
        <v>622800</v>
      </c>
      <c r="Z344" s="22">
        <v>3.4442140000000003E-2</v>
      </c>
    </row>
    <row r="345" spans="19:26" ht="16" x14ac:dyDescent="0.2">
      <c r="S345" s="23">
        <v>42635</v>
      </c>
      <c r="T345" s="22">
        <v>17.850000399999999</v>
      </c>
      <c r="U345" s="22">
        <v>17.889999400000001</v>
      </c>
      <c r="V345" s="22">
        <v>17.450000800000002</v>
      </c>
      <c r="W345" s="22">
        <v>17.639999400000001</v>
      </c>
      <c r="X345" s="22">
        <v>11.547671299999999</v>
      </c>
      <c r="Y345" s="22">
        <v>584800</v>
      </c>
      <c r="Z345" s="22">
        <v>-4.5144E-3</v>
      </c>
    </row>
    <row r="346" spans="19:26" ht="16" x14ac:dyDescent="0.2">
      <c r="S346" s="23">
        <v>42636</v>
      </c>
      <c r="T346" s="22">
        <v>17.5100002</v>
      </c>
      <c r="U346" s="22">
        <v>17.7600002</v>
      </c>
      <c r="V346" s="22">
        <v>17.340000199999999</v>
      </c>
      <c r="W346" s="22">
        <v>17.479999500000002</v>
      </c>
      <c r="X346" s="22">
        <v>11.442933099999999</v>
      </c>
      <c r="Y346" s="22">
        <v>414900</v>
      </c>
      <c r="Z346" s="22">
        <v>-9.0700999999999993E-3</v>
      </c>
    </row>
    <row r="347" spans="19:26" ht="16" x14ac:dyDescent="0.2">
      <c r="S347" s="23">
        <v>42639</v>
      </c>
      <c r="T347" s="22">
        <v>17.420000099999999</v>
      </c>
      <c r="U347" s="22">
        <v>17.4300003</v>
      </c>
      <c r="V347" s="22">
        <v>17.100000399999999</v>
      </c>
      <c r="W347" s="22">
        <v>17.1200008</v>
      </c>
      <c r="X347" s="22">
        <v>11.207262999999999</v>
      </c>
      <c r="Y347" s="22">
        <v>385600</v>
      </c>
      <c r="Z347" s="22">
        <v>-2.05953E-2</v>
      </c>
    </row>
    <row r="348" spans="19:26" ht="16" x14ac:dyDescent="0.2">
      <c r="S348" s="23">
        <v>42640</v>
      </c>
      <c r="T348" s="22">
        <v>17.139999400000001</v>
      </c>
      <c r="U348" s="22">
        <v>17.219999300000001</v>
      </c>
      <c r="V348" s="22">
        <v>16.950000800000002</v>
      </c>
      <c r="W348" s="22">
        <v>17.139999400000001</v>
      </c>
      <c r="X348" s="22">
        <v>11.220356000000001</v>
      </c>
      <c r="Y348" s="22">
        <v>520300</v>
      </c>
      <c r="Z348" s="22">
        <v>1.16826E-3</v>
      </c>
    </row>
    <row r="349" spans="19:26" ht="16" x14ac:dyDescent="0.2">
      <c r="S349" s="23">
        <v>42641</v>
      </c>
      <c r="T349" s="22">
        <v>17.139999400000001</v>
      </c>
      <c r="U349" s="22">
        <v>17.2600002</v>
      </c>
      <c r="V349" s="22">
        <v>16.850000399999999</v>
      </c>
      <c r="W349" s="22">
        <v>17.2399998</v>
      </c>
      <c r="X349" s="22">
        <v>11.285816199999999</v>
      </c>
      <c r="Y349" s="22">
        <v>400100</v>
      </c>
      <c r="Z349" s="22">
        <v>5.8340600000000003E-3</v>
      </c>
    </row>
    <row r="350" spans="19:26" ht="16" x14ac:dyDescent="0.2">
      <c r="S350" s="23">
        <v>42642</v>
      </c>
      <c r="T350" s="22">
        <v>17.200000800000002</v>
      </c>
      <c r="U350" s="22">
        <v>17.3099995</v>
      </c>
      <c r="V350" s="22">
        <v>17.049999199999998</v>
      </c>
      <c r="W350" s="22">
        <v>17.159999800000001</v>
      </c>
      <c r="X350" s="22">
        <v>11.233449</v>
      </c>
      <c r="Y350" s="22">
        <v>761900</v>
      </c>
      <c r="Z350" s="22">
        <v>-4.6401000000000003E-3</v>
      </c>
    </row>
    <row r="351" spans="19:26" ht="16" x14ac:dyDescent="0.2">
      <c r="S351" s="23">
        <v>42643</v>
      </c>
      <c r="T351" s="22">
        <v>17.219999300000001</v>
      </c>
      <c r="U351" s="22">
        <v>17.3799992</v>
      </c>
      <c r="V351" s="22">
        <v>16.790000899999999</v>
      </c>
      <c r="W351" s="22">
        <v>16.959999100000001</v>
      </c>
      <c r="X351" s="22">
        <v>11.1025238</v>
      </c>
      <c r="Y351" s="22">
        <v>712500</v>
      </c>
      <c r="Z351" s="22">
        <v>-1.1654899999999999E-2</v>
      </c>
    </row>
    <row r="352" spans="19:26" ht="16" x14ac:dyDescent="0.2">
      <c r="S352" s="23">
        <v>42646</v>
      </c>
      <c r="T352" s="22">
        <v>17.0100002</v>
      </c>
      <c r="U352" s="22">
        <v>17.0100002</v>
      </c>
      <c r="V352" s="22">
        <v>16.450000800000002</v>
      </c>
      <c r="W352" s="22">
        <v>16.5100002</v>
      </c>
      <c r="X352" s="22">
        <v>10.807940500000001</v>
      </c>
      <c r="Y352" s="22">
        <v>488600</v>
      </c>
      <c r="Z352" s="22">
        <v>-2.6533000000000001E-2</v>
      </c>
    </row>
    <row r="353" spans="19:26" ht="16" x14ac:dyDescent="0.2">
      <c r="S353" s="23">
        <v>42647</v>
      </c>
      <c r="T353" s="22">
        <v>16.5</v>
      </c>
      <c r="U353" s="22">
        <v>16.610000599999999</v>
      </c>
      <c r="V353" s="22">
        <v>16.049999199999998</v>
      </c>
      <c r="W353" s="22">
        <v>16.139999400000001</v>
      </c>
      <c r="X353" s="22">
        <v>10.5657263</v>
      </c>
      <c r="Y353" s="22">
        <v>699500</v>
      </c>
      <c r="Z353" s="22">
        <v>-2.2410800000000002E-2</v>
      </c>
    </row>
    <row r="354" spans="19:26" ht="16" x14ac:dyDescent="0.2">
      <c r="S354" s="23">
        <v>42648</v>
      </c>
      <c r="T354" s="22">
        <v>16.2600002</v>
      </c>
      <c r="U354" s="22">
        <v>16.469999300000001</v>
      </c>
      <c r="V354" s="22">
        <v>16.149999600000001</v>
      </c>
      <c r="W354" s="22">
        <v>16.3099995</v>
      </c>
      <c r="X354" s="22">
        <v>10.6770134</v>
      </c>
      <c r="Y354" s="22">
        <v>638000</v>
      </c>
      <c r="Z354" s="22">
        <v>1.053284E-2</v>
      </c>
    </row>
    <row r="355" spans="19:26" ht="16" x14ac:dyDescent="0.2">
      <c r="S355" s="23">
        <v>42649</v>
      </c>
      <c r="T355" s="22">
        <v>16.2600002</v>
      </c>
      <c r="U355" s="22">
        <v>16.469999300000001</v>
      </c>
      <c r="V355" s="22">
        <v>16.0599995</v>
      </c>
      <c r="W355" s="22">
        <v>16.110000599999999</v>
      </c>
      <c r="X355" s="22">
        <v>10.546090100000001</v>
      </c>
      <c r="Y355" s="22">
        <v>422500</v>
      </c>
      <c r="Z355" s="22">
        <v>-1.2262199999999999E-2</v>
      </c>
    </row>
    <row r="356" spans="19:26" ht="16" x14ac:dyDescent="0.2">
      <c r="S356" s="23">
        <v>42650</v>
      </c>
      <c r="T356" s="22">
        <v>16.110000599999999</v>
      </c>
      <c r="U356" s="22">
        <v>16.2600002</v>
      </c>
      <c r="V356" s="22">
        <v>15.7700005</v>
      </c>
      <c r="W356" s="22">
        <v>15.79</v>
      </c>
      <c r="X356" s="22">
        <v>10.336606</v>
      </c>
      <c r="Y356" s="22">
        <v>650000</v>
      </c>
      <c r="Z356" s="22">
        <v>-1.9863700000000001E-2</v>
      </c>
    </row>
    <row r="357" spans="19:26" ht="16" x14ac:dyDescent="0.2">
      <c r="S357" s="23">
        <v>42653</v>
      </c>
      <c r="T357" s="22">
        <v>15.800000199999999</v>
      </c>
      <c r="U357" s="22">
        <v>16.049999199999998</v>
      </c>
      <c r="V357" s="22">
        <v>15.699999800000001</v>
      </c>
      <c r="W357" s="22">
        <v>15.75</v>
      </c>
      <c r="X357" s="22">
        <v>10.310421</v>
      </c>
      <c r="Y357" s="22">
        <v>384200</v>
      </c>
      <c r="Z357" s="22">
        <v>-2.5332000000000002E-3</v>
      </c>
    </row>
    <row r="358" spans="19:26" ht="16" x14ac:dyDescent="0.2">
      <c r="S358" s="23">
        <v>42654</v>
      </c>
      <c r="T358" s="22">
        <v>15.649999599999999</v>
      </c>
      <c r="U358" s="22">
        <v>16</v>
      </c>
      <c r="V358" s="22">
        <v>15.5</v>
      </c>
      <c r="W358" s="22">
        <v>15.75</v>
      </c>
      <c r="X358" s="22">
        <v>10.310421</v>
      </c>
      <c r="Y358" s="22">
        <v>828200</v>
      </c>
      <c r="Z358" s="22">
        <v>0</v>
      </c>
    </row>
    <row r="359" spans="19:26" ht="16" x14ac:dyDescent="0.2">
      <c r="S359" s="23">
        <v>42655</v>
      </c>
      <c r="T359" s="22">
        <v>15.699999800000001</v>
      </c>
      <c r="U359" s="22">
        <v>15.75</v>
      </c>
      <c r="V359" s="22">
        <v>15.449999800000001</v>
      </c>
      <c r="W359" s="22">
        <v>15.550000199999999</v>
      </c>
      <c r="X359" s="22">
        <v>10.1794949</v>
      </c>
      <c r="Y359" s="22">
        <v>397100</v>
      </c>
      <c r="Z359" s="22">
        <v>-1.26984E-2</v>
      </c>
    </row>
    <row r="360" spans="19:26" ht="16" x14ac:dyDescent="0.2">
      <c r="S360" s="23">
        <v>42656</v>
      </c>
      <c r="T360" s="22">
        <v>15.5</v>
      </c>
      <c r="U360" s="22">
        <v>15.649999599999999</v>
      </c>
      <c r="V360" s="22">
        <v>15.25</v>
      </c>
      <c r="W360" s="22">
        <v>15.399999599999999</v>
      </c>
      <c r="X360" s="22">
        <v>10.081301699999999</v>
      </c>
      <c r="Y360" s="22">
        <v>878900</v>
      </c>
      <c r="Z360" s="22">
        <v>-9.6462000000000006E-3</v>
      </c>
    </row>
    <row r="361" spans="19:26" ht="16" x14ac:dyDescent="0.2">
      <c r="S361" s="23">
        <v>42657</v>
      </c>
      <c r="T361" s="22">
        <v>15.550000199999999</v>
      </c>
      <c r="U361" s="22">
        <v>15.550000199999999</v>
      </c>
      <c r="V361" s="22">
        <v>15.350000400000001</v>
      </c>
      <c r="W361" s="22">
        <v>15.449999800000001</v>
      </c>
      <c r="X361" s="22">
        <v>10.114031799999999</v>
      </c>
      <c r="Y361" s="22">
        <v>499800</v>
      </c>
      <c r="Z361" s="22">
        <v>3.24661E-3</v>
      </c>
    </row>
    <row r="362" spans="19:26" ht="16" x14ac:dyDescent="0.2">
      <c r="S362" s="23">
        <v>42660</v>
      </c>
      <c r="T362" s="22">
        <v>15.550000199999999</v>
      </c>
      <c r="U362" s="22">
        <v>15.600000400000001</v>
      </c>
      <c r="V362" s="22">
        <v>15.25</v>
      </c>
      <c r="W362" s="22">
        <v>15.399999599999999</v>
      </c>
      <c r="X362" s="22">
        <v>10.081301699999999</v>
      </c>
      <c r="Y362" s="22">
        <v>520500</v>
      </c>
      <c r="Z362" s="22">
        <v>-3.2361E-3</v>
      </c>
    </row>
    <row r="363" spans="19:26" ht="16" x14ac:dyDescent="0.2">
      <c r="S363" s="23">
        <v>42661</v>
      </c>
      <c r="T363" s="22">
        <v>15.600000400000001</v>
      </c>
      <c r="U363" s="22">
        <v>15.850000400000001</v>
      </c>
      <c r="V363" s="22">
        <v>15.350000400000001</v>
      </c>
      <c r="W363" s="22">
        <v>15.75</v>
      </c>
      <c r="X363" s="22">
        <v>10.310421</v>
      </c>
      <c r="Y363" s="22">
        <v>544100</v>
      </c>
      <c r="Z363" s="22">
        <v>2.2727150000000002E-2</v>
      </c>
    </row>
    <row r="364" spans="19:26" ht="16" x14ac:dyDescent="0.2">
      <c r="S364" s="23">
        <v>42662</v>
      </c>
      <c r="T364" s="22">
        <v>15.800000199999999</v>
      </c>
      <c r="U364" s="22">
        <v>16</v>
      </c>
      <c r="V364" s="22">
        <v>15.649999599999999</v>
      </c>
      <c r="W364" s="22">
        <v>15.949999800000001</v>
      </c>
      <c r="X364" s="22">
        <v>10.4413471</v>
      </c>
      <c r="Y364" s="22">
        <v>481100</v>
      </c>
      <c r="Z364" s="22">
        <v>1.269843E-2</v>
      </c>
    </row>
    <row r="365" spans="19:26" ht="16" x14ac:dyDescent="0.2">
      <c r="S365" s="23">
        <v>42663</v>
      </c>
      <c r="T365" s="22">
        <v>15.949999800000001</v>
      </c>
      <c r="U365" s="22">
        <v>16.100000399999999</v>
      </c>
      <c r="V365" s="22">
        <v>15.699999800000001</v>
      </c>
      <c r="W365" s="22">
        <v>15.949999800000001</v>
      </c>
      <c r="X365" s="22">
        <v>10.4413471</v>
      </c>
      <c r="Y365" s="22">
        <v>219800</v>
      </c>
      <c r="Z365" s="22">
        <v>0</v>
      </c>
    </row>
    <row r="366" spans="19:26" ht="16" x14ac:dyDescent="0.2">
      <c r="S366" s="23">
        <v>42664</v>
      </c>
      <c r="T366" s="22">
        <v>15.75</v>
      </c>
      <c r="U366" s="22">
        <v>16.350000399999999</v>
      </c>
      <c r="V366" s="22">
        <v>15.699999800000001</v>
      </c>
      <c r="W366" s="22">
        <v>16.149999600000001</v>
      </c>
      <c r="X366" s="22">
        <v>10.572273300000001</v>
      </c>
      <c r="Y366" s="22">
        <v>589200</v>
      </c>
      <c r="Z366" s="22">
        <v>1.25392E-2</v>
      </c>
    </row>
    <row r="367" spans="19:26" ht="16" x14ac:dyDescent="0.2">
      <c r="S367" s="23">
        <v>42667</v>
      </c>
      <c r="T367" s="22">
        <v>16.299999199999998</v>
      </c>
      <c r="U367" s="22">
        <v>16.350000399999999</v>
      </c>
      <c r="V367" s="22">
        <v>15.600000400000001</v>
      </c>
      <c r="W367" s="22">
        <v>15.699999800000001</v>
      </c>
      <c r="X367" s="22">
        <v>10.2776871</v>
      </c>
      <c r="Y367" s="22">
        <v>342900</v>
      </c>
      <c r="Z367" s="22">
        <v>-2.7864E-2</v>
      </c>
    </row>
    <row r="368" spans="19:26" ht="16" x14ac:dyDescent="0.2">
      <c r="S368" s="23">
        <v>42668</v>
      </c>
      <c r="T368" s="22">
        <v>15.800000199999999</v>
      </c>
      <c r="U368" s="22">
        <v>16</v>
      </c>
      <c r="V368" s="22">
        <v>15.600000400000001</v>
      </c>
      <c r="W368" s="22">
        <v>15.800000199999999</v>
      </c>
      <c r="X368" s="22">
        <v>10.343152</v>
      </c>
      <c r="Y368" s="22">
        <v>473100</v>
      </c>
      <c r="Z368" s="22">
        <v>6.3696200000000003E-3</v>
      </c>
    </row>
    <row r="369" spans="19:26" ht="16" x14ac:dyDescent="0.2">
      <c r="S369" s="23">
        <v>42669</v>
      </c>
      <c r="T369" s="22">
        <v>15.800000199999999</v>
      </c>
      <c r="U369" s="22">
        <v>15.800000199999999</v>
      </c>
      <c r="V369" s="22">
        <v>15.449999800000001</v>
      </c>
      <c r="W369" s="22">
        <v>15.449999800000001</v>
      </c>
      <c r="X369" s="22">
        <v>10.114031799999999</v>
      </c>
      <c r="Y369" s="22">
        <v>429100</v>
      </c>
      <c r="Z369" s="22">
        <v>-2.2151899999999999E-2</v>
      </c>
    </row>
    <row r="370" spans="19:26" ht="16" x14ac:dyDescent="0.2">
      <c r="S370" s="23">
        <v>42670</v>
      </c>
      <c r="T370" s="22">
        <v>15.550000199999999</v>
      </c>
      <c r="U370" s="22">
        <v>15.600000400000001</v>
      </c>
      <c r="V370" s="22">
        <v>15.149999599999999</v>
      </c>
      <c r="W370" s="22">
        <v>15.300000199999999</v>
      </c>
      <c r="X370" s="22">
        <v>10.015836699999999</v>
      </c>
      <c r="Y370" s="22">
        <v>397400</v>
      </c>
      <c r="Z370" s="22">
        <v>-9.7088000000000001E-3</v>
      </c>
    </row>
    <row r="371" spans="19:26" ht="16" x14ac:dyDescent="0.2">
      <c r="S371" s="23">
        <v>42671</v>
      </c>
      <c r="T371" s="22">
        <v>15.399999599999999</v>
      </c>
      <c r="U371" s="22">
        <v>15.5</v>
      </c>
      <c r="V371" s="22">
        <v>15</v>
      </c>
      <c r="W371" s="22">
        <v>15.100000400000001</v>
      </c>
      <c r="X371" s="22">
        <v>9.8849143999999995</v>
      </c>
      <c r="Y371" s="22">
        <v>295900</v>
      </c>
      <c r="Z371" s="22">
        <v>-1.30715E-2</v>
      </c>
    </row>
    <row r="372" spans="19:26" ht="16" x14ac:dyDescent="0.2">
      <c r="S372" s="23">
        <v>42674</v>
      </c>
      <c r="T372" s="22">
        <v>15.199999800000001</v>
      </c>
      <c r="U372" s="22">
        <v>15.600000400000001</v>
      </c>
      <c r="V372" s="22">
        <v>15.100000400000001</v>
      </c>
      <c r="W372" s="22">
        <v>15.399999599999999</v>
      </c>
      <c r="X372" s="22">
        <v>10.081301699999999</v>
      </c>
      <c r="Y372" s="22">
        <v>616600</v>
      </c>
      <c r="Z372" s="22">
        <v>1.9867369999999999E-2</v>
      </c>
    </row>
    <row r="373" spans="19:26" ht="16" x14ac:dyDescent="0.2">
      <c r="S373" s="23">
        <v>42675</v>
      </c>
      <c r="T373" s="22">
        <v>15.350000400000001</v>
      </c>
      <c r="U373" s="22">
        <v>15.550000199999999</v>
      </c>
      <c r="V373" s="22">
        <v>15.100000400000001</v>
      </c>
      <c r="W373" s="22">
        <v>15.399999599999999</v>
      </c>
      <c r="X373" s="22">
        <v>10.081301699999999</v>
      </c>
      <c r="Y373" s="22">
        <v>587000</v>
      </c>
      <c r="Z373" s="22">
        <v>0</v>
      </c>
    </row>
    <row r="374" spans="19:26" ht="16" x14ac:dyDescent="0.2">
      <c r="S374" s="23">
        <v>42676</v>
      </c>
      <c r="T374" s="22">
        <v>15.300000199999999</v>
      </c>
      <c r="U374" s="22">
        <v>15.399999599999999</v>
      </c>
      <c r="V374" s="22">
        <v>14.75</v>
      </c>
      <c r="W374" s="22">
        <v>14.75</v>
      </c>
      <c r="X374" s="22">
        <v>9.6557931900000007</v>
      </c>
      <c r="Y374" s="22">
        <v>413700</v>
      </c>
      <c r="Z374" s="22">
        <v>-4.2207700000000001E-2</v>
      </c>
    </row>
    <row r="375" spans="19:26" ht="16" x14ac:dyDescent="0.2">
      <c r="S375" s="23">
        <v>42677</v>
      </c>
      <c r="T375" s="22">
        <v>14.850000400000001</v>
      </c>
      <c r="U375" s="22">
        <v>15.050000199999999</v>
      </c>
      <c r="V375" s="22">
        <v>14.75</v>
      </c>
      <c r="W375" s="22">
        <v>15.050000199999999</v>
      </c>
      <c r="X375" s="22">
        <v>9.8521795300000008</v>
      </c>
      <c r="Y375" s="22">
        <v>416800</v>
      </c>
      <c r="Z375" s="22">
        <v>2.0338709999999999E-2</v>
      </c>
    </row>
    <row r="376" spans="19:26" ht="16" x14ac:dyDescent="0.2">
      <c r="S376" s="23">
        <v>42678</v>
      </c>
      <c r="T376" s="22">
        <v>15.100000400000001</v>
      </c>
      <c r="U376" s="22">
        <v>16.100000399999999</v>
      </c>
      <c r="V376" s="22">
        <v>15.100000400000001</v>
      </c>
      <c r="W376" s="22">
        <v>15.5</v>
      </c>
      <c r="X376" s="22">
        <v>10.146762799999999</v>
      </c>
      <c r="Y376" s="22">
        <v>513700</v>
      </c>
      <c r="Z376" s="22">
        <v>2.9900320000000001E-2</v>
      </c>
    </row>
    <row r="377" spans="19:26" ht="16" x14ac:dyDescent="0.2">
      <c r="S377" s="23">
        <v>42681</v>
      </c>
      <c r="T377" s="22">
        <v>15.75</v>
      </c>
      <c r="U377" s="22">
        <v>16</v>
      </c>
      <c r="V377" s="22">
        <v>15.5</v>
      </c>
      <c r="W377" s="22">
        <v>16</v>
      </c>
      <c r="X377" s="22">
        <v>10.474079100000001</v>
      </c>
      <c r="Y377" s="22">
        <v>690400</v>
      </c>
      <c r="Z377" s="22">
        <v>3.2258200000000001E-2</v>
      </c>
    </row>
    <row r="378" spans="19:26" ht="16" x14ac:dyDescent="0.2">
      <c r="S378" s="23">
        <v>42682</v>
      </c>
      <c r="T378" s="22">
        <v>16.149999600000001</v>
      </c>
      <c r="U378" s="22">
        <v>16.399999600000001</v>
      </c>
      <c r="V378" s="22">
        <v>15.899999599999999</v>
      </c>
      <c r="W378" s="22">
        <v>16</v>
      </c>
      <c r="X378" s="22">
        <v>10.474079100000001</v>
      </c>
      <c r="Y378" s="22">
        <v>1201800</v>
      </c>
      <c r="Z378" s="22">
        <v>0</v>
      </c>
    </row>
    <row r="379" spans="19:26" ht="16" x14ac:dyDescent="0.2">
      <c r="S379" s="23">
        <v>42683</v>
      </c>
      <c r="T379" s="22">
        <v>15.5</v>
      </c>
      <c r="U379" s="22">
        <v>15.800000199999999</v>
      </c>
      <c r="V379" s="22">
        <v>14.449999800000001</v>
      </c>
      <c r="W379" s="22">
        <v>14.5</v>
      </c>
      <c r="X379" s="22">
        <v>9.4921340900000004</v>
      </c>
      <c r="Y379" s="22">
        <v>2145400</v>
      </c>
      <c r="Z379" s="22">
        <v>-9.375E-2</v>
      </c>
    </row>
    <row r="380" spans="19:26" ht="16" x14ac:dyDescent="0.2">
      <c r="S380" s="23">
        <v>42684</v>
      </c>
      <c r="T380" s="22">
        <v>15.050000199999999</v>
      </c>
      <c r="U380" s="22">
        <v>15.449999800000001</v>
      </c>
      <c r="V380" s="22">
        <v>13.9799995</v>
      </c>
      <c r="W380" s="22">
        <v>14.550000199999999</v>
      </c>
      <c r="X380" s="22">
        <v>9.5248661000000006</v>
      </c>
      <c r="Y380" s="22">
        <v>1758900</v>
      </c>
      <c r="Z380" s="22">
        <v>3.4483299999999999E-3</v>
      </c>
    </row>
    <row r="381" spans="19:26" ht="16" x14ac:dyDescent="0.2">
      <c r="S381" s="23">
        <v>42685</v>
      </c>
      <c r="T381" s="22">
        <v>14.649999599999999</v>
      </c>
      <c r="U381" s="22">
        <v>15.199999800000001</v>
      </c>
      <c r="V381" s="22">
        <v>14.600000400000001</v>
      </c>
      <c r="W381" s="22">
        <v>15</v>
      </c>
      <c r="X381" s="22">
        <v>9.8194484699999993</v>
      </c>
      <c r="Y381" s="22">
        <v>770300</v>
      </c>
      <c r="Z381" s="22">
        <v>3.0927719999999999E-2</v>
      </c>
    </row>
    <row r="382" spans="19:26" ht="16" x14ac:dyDescent="0.2">
      <c r="S382" s="23">
        <v>42688</v>
      </c>
      <c r="T382" s="22">
        <v>15.25</v>
      </c>
      <c r="U382" s="22">
        <v>15.399999599999999</v>
      </c>
      <c r="V382" s="22">
        <v>14.899999599999999</v>
      </c>
      <c r="W382" s="22">
        <v>15.300000199999999</v>
      </c>
      <c r="X382" s="22">
        <v>10.015836699999999</v>
      </c>
      <c r="Y382" s="22">
        <v>589400</v>
      </c>
      <c r="Z382" s="22">
        <v>1.9999929999999999E-2</v>
      </c>
    </row>
    <row r="383" spans="19:26" ht="16" x14ac:dyDescent="0.2">
      <c r="S383" s="23">
        <v>42689</v>
      </c>
      <c r="T383" s="22">
        <v>15.399999599999999</v>
      </c>
      <c r="U383" s="22">
        <v>15.699999800000001</v>
      </c>
      <c r="V383" s="22">
        <v>15.300000199999999</v>
      </c>
      <c r="W383" s="22">
        <v>15.399999599999999</v>
      </c>
      <c r="X383" s="22">
        <v>10.081301699999999</v>
      </c>
      <c r="Y383" s="22">
        <v>535700</v>
      </c>
      <c r="Z383" s="22">
        <v>6.5361500000000001E-3</v>
      </c>
    </row>
    <row r="384" spans="19:26" ht="16" x14ac:dyDescent="0.2">
      <c r="S384" s="23">
        <v>42690</v>
      </c>
      <c r="T384" s="22">
        <v>15.300000199999999</v>
      </c>
      <c r="U384" s="22">
        <v>15.4899998</v>
      </c>
      <c r="V384" s="22">
        <v>14.899999599999999</v>
      </c>
      <c r="W384" s="22">
        <v>15.199999800000001</v>
      </c>
      <c r="X384" s="22">
        <v>9.9503727000000008</v>
      </c>
      <c r="Y384" s="22">
        <v>423200</v>
      </c>
      <c r="Z384" s="22">
        <v>-1.29873E-2</v>
      </c>
    </row>
    <row r="385" spans="19:26" ht="16" x14ac:dyDescent="0.2">
      <c r="S385" s="23">
        <v>42691</v>
      </c>
      <c r="T385" s="22">
        <v>15.25</v>
      </c>
      <c r="U385" s="22">
        <v>15.529999699999999</v>
      </c>
      <c r="V385" s="22">
        <v>15.050000199999999</v>
      </c>
      <c r="W385" s="22">
        <v>15.5</v>
      </c>
      <c r="X385" s="22">
        <v>10.146762799999999</v>
      </c>
      <c r="Y385" s="22">
        <v>437000</v>
      </c>
      <c r="Z385" s="22">
        <v>1.9736960000000001E-2</v>
      </c>
    </row>
    <row r="386" spans="19:26" ht="16" x14ac:dyDescent="0.2">
      <c r="S386" s="23">
        <v>42692</v>
      </c>
      <c r="T386" s="22">
        <v>15.600000400000001</v>
      </c>
      <c r="U386" s="22">
        <v>15.649999599999999</v>
      </c>
      <c r="V386" s="22">
        <v>15.350000400000001</v>
      </c>
      <c r="W386" s="22">
        <v>15.5</v>
      </c>
      <c r="X386" s="22">
        <v>10.146762799999999</v>
      </c>
      <c r="Y386" s="22">
        <v>427300</v>
      </c>
      <c r="Z386" s="22">
        <v>0</v>
      </c>
    </row>
    <row r="387" spans="19:26" ht="16" x14ac:dyDescent="0.2">
      <c r="S387" s="23">
        <v>42695</v>
      </c>
      <c r="T387" s="22">
        <v>15.5</v>
      </c>
      <c r="U387" s="22">
        <v>15.699999800000001</v>
      </c>
      <c r="V387" s="22">
        <v>15.399999599999999</v>
      </c>
      <c r="W387" s="22">
        <v>15.5</v>
      </c>
      <c r="X387" s="22">
        <v>10.146762799999999</v>
      </c>
      <c r="Y387" s="22">
        <v>398000</v>
      </c>
      <c r="Z387" s="22">
        <v>0</v>
      </c>
    </row>
    <row r="388" spans="19:26" ht="16" x14ac:dyDescent="0.2">
      <c r="S388" s="23">
        <v>42696</v>
      </c>
      <c r="T388" s="22">
        <v>15.600000400000001</v>
      </c>
      <c r="U388" s="22">
        <v>16</v>
      </c>
      <c r="V388" s="22">
        <v>15.399999599999999</v>
      </c>
      <c r="W388" s="22">
        <v>15.899999599999999</v>
      </c>
      <c r="X388" s="22">
        <v>10.408617</v>
      </c>
      <c r="Y388" s="22">
        <v>595200</v>
      </c>
      <c r="Z388" s="22">
        <v>2.580667E-2</v>
      </c>
    </row>
    <row r="389" spans="19:26" ht="16" x14ac:dyDescent="0.2">
      <c r="S389" s="23">
        <v>42697</v>
      </c>
      <c r="T389" s="22">
        <v>15.800000199999999</v>
      </c>
      <c r="U389" s="22">
        <v>16.450000800000002</v>
      </c>
      <c r="V389" s="22">
        <v>15.649999599999999</v>
      </c>
      <c r="W389" s="22">
        <v>16.25</v>
      </c>
      <c r="X389" s="22">
        <v>10.6377363</v>
      </c>
      <c r="Y389" s="22">
        <v>450800</v>
      </c>
      <c r="Z389" s="22">
        <v>2.2012460000000001E-2</v>
      </c>
    </row>
    <row r="390" spans="19:26" ht="16" x14ac:dyDescent="0.2">
      <c r="S390" s="23">
        <v>42699</v>
      </c>
      <c r="T390" s="22">
        <v>16.299999199999998</v>
      </c>
      <c r="U390" s="22">
        <v>16.350000399999999</v>
      </c>
      <c r="V390" s="22">
        <v>15.899999599999999</v>
      </c>
      <c r="W390" s="22">
        <v>16.100000399999999</v>
      </c>
      <c r="X390" s="22">
        <v>10.539539299999999</v>
      </c>
      <c r="Y390" s="22">
        <v>241800</v>
      </c>
      <c r="Z390" s="22">
        <v>-9.2309999999999996E-3</v>
      </c>
    </row>
    <row r="391" spans="19:26" ht="16" x14ac:dyDescent="0.2">
      <c r="S391" s="23">
        <v>42702</v>
      </c>
      <c r="T391" s="22">
        <v>16.049999199999998</v>
      </c>
      <c r="U391" s="22">
        <v>16.450000800000002</v>
      </c>
      <c r="V391" s="22">
        <v>15.949999800000001</v>
      </c>
      <c r="W391" s="22">
        <v>16.350000399999999</v>
      </c>
      <c r="X391" s="22">
        <v>10.703200300000001</v>
      </c>
      <c r="Y391" s="22">
        <v>487700</v>
      </c>
      <c r="Z391" s="22">
        <v>1.552829E-2</v>
      </c>
    </row>
    <row r="392" spans="19:26" ht="16" x14ac:dyDescent="0.2">
      <c r="S392" s="23">
        <v>42703</v>
      </c>
      <c r="T392" s="22">
        <v>15.949999800000001</v>
      </c>
      <c r="U392" s="22">
        <v>16.049999199999998</v>
      </c>
      <c r="V392" s="22">
        <v>15.5</v>
      </c>
      <c r="W392" s="22">
        <v>15.649999599999999</v>
      </c>
      <c r="X392" s="22">
        <v>10.4040403</v>
      </c>
      <c r="Y392" s="22">
        <v>304200</v>
      </c>
      <c r="Z392" s="22">
        <v>-2.79505E-2</v>
      </c>
    </row>
    <row r="393" spans="19:26" ht="16" x14ac:dyDescent="0.2">
      <c r="S393" s="23">
        <v>42704</v>
      </c>
      <c r="T393" s="22">
        <v>15.75</v>
      </c>
      <c r="U393" s="22">
        <v>15.800000199999999</v>
      </c>
      <c r="V393" s="22">
        <v>15.300000199999999</v>
      </c>
      <c r="W393" s="22">
        <v>15.350000400000001</v>
      </c>
      <c r="X393" s="22">
        <v>10.2046013</v>
      </c>
      <c r="Y393" s="22">
        <v>655300</v>
      </c>
      <c r="Z393" s="22">
        <v>-1.91694E-2</v>
      </c>
    </row>
    <row r="394" spans="19:26" ht="16" x14ac:dyDescent="0.2">
      <c r="S394" s="23">
        <v>42705</v>
      </c>
      <c r="T394" s="22">
        <v>15.300000199999999</v>
      </c>
      <c r="U394" s="22">
        <v>15.5</v>
      </c>
      <c r="V394" s="22">
        <v>14.850000400000001</v>
      </c>
      <c r="W394" s="22">
        <v>15.050000199999999</v>
      </c>
      <c r="X394" s="22">
        <v>10.0051632</v>
      </c>
      <c r="Y394" s="22">
        <v>1023100</v>
      </c>
      <c r="Z394" s="22">
        <v>-1.9543899999999999E-2</v>
      </c>
    </row>
    <row r="395" spans="19:26" ht="16" x14ac:dyDescent="0.2">
      <c r="S395" s="23">
        <v>42706</v>
      </c>
      <c r="T395" s="22">
        <v>15.100000400000001</v>
      </c>
      <c r="U395" s="22">
        <v>15.149999599999999</v>
      </c>
      <c r="V395" s="22">
        <v>14.75</v>
      </c>
      <c r="W395" s="22">
        <v>14.899999599999999</v>
      </c>
      <c r="X395" s="22">
        <v>9.9054422399999993</v>
      </c>
      <c r="Y395" s="22">
        <v>529900</v>
      </c>
      <c r="Z395" s="22">
        <v>-9.9669000000000008E-3</v>
      </c>
    </row>
    <row r="396" spans="19:26" ht="16" x14ac:dyDescent="0.2">
      <c r="S396" s="23">
        <v>42709</v>
      </c>
      <c r="T396" s="22">
        <v>14.850000400000001</v>
      </c>
      <c r="U396" s="22">
        <v>15.149999599999999</v>
      </c>
      <c r="V396" s="22">
        <v>14.600000400000001</v>
      </c>
      <c r="W396" s="22">
        <v>15.050000199999999</v>
      </c>
      <c r="X396" s="22">
        <v>10.0051632</v>
      </c>
      <c r="Y396" s="22">
        <v>850600</v>
      </c>
      <c r="Z396" s="22">
        <v>1.006729E-2</v>
      </c>
    </row>
    <row r="397" spans="19:26" ht="16" x14ac:dyDescent="0.2">
      <c r="S397" s="23">
        <v>42710</v>
      </c>
      <c r="T397" s="22">
        <v>15.149999599999999</v>
      </c>
      <c r="U397" s="22">
        <v>15.4799995</v>
      </c>
      <c r="V397" s="22">
        <v>15</v>
      </c>
      <c r="W397" s="22">
        <v>15.199999800000001</v>
      </c>
      <c r="X397" s="22">
        <v>10.1048822</v>
      </c>
      <c r="Y397" s="22">
        <v>460700</v>
      </c>
      <c r="Z397" s="22">
        <v>9.9667599999999999E-3</v>
      </c>
    </row>
    <row r="398" spans="19:26" ht="16" x14ac:dyDescent="0.2">
      <c r="S398" s="23">
        <v>42711</v>
      </c>
      <c r="T398" s="22">
        <v>15.300000199999999</v>
      </c>
      <c r="U398" s="22">
        <v>15.6300001</v>
      </c>
      <c r="V398" s="22">
        <v>15.25</v>
      </c>
      <c r="W398" s="22">
        <v>15.600000400000001</v>
      </c>
      <c r="X398" s="22">
        <v>10.3708019</v>
      </c>
      <c r="Y398" s="22">
        <v>485200</v>
      </c>
      <c r="Z398" s="22">
        <v>2.6315959999999999E-2</v>
      </c>
    </row>
    <row r="399" spans="19:26" ht="16" x14ac:dyDescent="0.2">
      <c r="S399" s="23">
        <v>42712</v>
      </c>
      <c r="T399" s="22">
        <v>15.600000400000001</v>
      </c>
      <c r="U399" s="22">
        <v>16.049999199999998</v>
      </c>
      <c r="V399" s="22">
        <v>15.350000400000001</v>
      </c>
      <c r="W399" s="22">
        <v>15.899999599999999</v>
      </c>
      <c r="X399" s="22">
        <v>10.570240999999999</v>
      </c>
      <c r="Y399" s="22">
        <v>735100</v>
      </c>
      <c r="Z399" s="22">
        <v>1.9230819999999999E-2</v>
      </c>
    </row>
    <row r="400" spans="19:26" ht="16" x14ac:dyDescent="0.2">
      <c r="S400" s="23">
        <v>42713</v>
      </c>
      <c r="T400" s="22">
        <v>15.850000400000001</v>
      </c>
      <c r="U400" s="22">
        <v>16.100000399999999</v>
      </c>
      <c r="V400" s="22">
        <v>15.699999800000001</v>
      </c>
      <c r="W400" s="22">
        <v>16.049999199999998</v>
      </c>
      <c r="X400" s="22">
        <v>10.6699591</v>
      </c>
      <c r="Y400" s="22">
        <v>473300</v>
      </c>
      <c r="Z400" s="22">
        <v>9.4338500000000006E-3</v>
      </c>
    </row>
    <row r="401" spans="19:26" ht="16" x14ac:dyDescent="0.2">
      <c r="S401" s="23">
        <v>42716</v>
      </c>
      <c r="T401" s="22">
        <v>16.049999199999998</v>
      </c>
      <c r="U401" s="22">
        <v>16.200000800000002</v>
      </c>
      <c r="V401" s="22">
        <v>15.699999800000001</v>
      </c>
      <c r="W401" s="22">
        <v>15.850000400000001</v>
      </c>
      <c r="X401" s="22">
        <v>10.5369978</v>
      </c>
      <c r="Y401" s="22">
        <v>380600</v>
      </c>
      <c r="Z401" s="22">
        <v>-1.24613E-2</v>
      </c>
    </row>
    <row r="402" spans="19:26" ht="16" x14ac:dyDescent="0.2">
      <c r="S402" s="23">
        <v>42717</v>
      </c>
      <c r="T402" s="22">
        <v>15.949999800000001</v>
      </c>
      <c r="U402" s="22">
        <v>16.200000800000002</v>
      </c>
      <c r="V402" s="22">
        <v>15.800000199999999</v>
      </c>
      <c r="W402" s="22">
        <v>16</v>
      </c>
      <c r="X402" s="22">
        <v>10.6367207</v>
      </c>
      <c r="Y402" s="22">
        <v>375600</v>
      </c>
      <c r="Z402" s="22">
        <v>9.4640699999999998E-3</v>
      </c>
    </row>
    <row r="403" spans="19:26" ht="16" x14ac:dyDescent="0.2">
      <c r="S403" s="23">
        <v>42718</v>
      </c>
      <c r="T403" s="22">
        <v>16</v>
      </c>
      <c r="U403" s="22">
        <v>16.350000399999999</v>
      </c>
      <c r="V403" s="22">
        <v>15.649999599999999</v>
      </c>
      <c r="W403" s="22">
        <v>15.75</v>
      </c>
      <c r="X403" s="22">
        <v>10.470519100000001</v>
      </c>
      <c r="Y403" s="22">
        <v>563600</v>
      </c>
      <c r="Z403" s="22">
        <v>-1.5625300000000002E-2</v>
      </c>
    </row>
    <row r="404" spans="19:26" ht="16" x14ac:dyDescent="0.2">
      <c r="S404" s="23">
        <v>42719</v>
      </c>
      <c r="T404" s="22">
        <v>15.600000400000001</v>
      </c>
      <c r="U404" s="22">
        <v>15.800000199999999</v>
      </c>
      <c r="V404" s="22">
        <v>15.350000400000001</v>
      </c>
      <c r="W404" s="22">
        <v>15.699999800000001</v>
      </c>
      <c r="X404" s="22">
        <v>10.4372787</v>
      </c>
      <c r="Y404" s="22">
        <v>656100</v>
      </c>
      <c r="Z404" s="22">
        <v>-3.1746999999999999E-3</v>
      </c>
    </row>
    <row r="405" spans="19:26" ht="16" x14ac:dyDescent="0.2">
      <c r="S405" s="23">
        <v>42720</v>
      </c>
      <c r="T405" s="22">
        <v>15.75</v>
      </c>
      <c r="U405" s="22">
        <v>15.899999599999999</v>
      </c>
      <c r="V405" s="22">
        <v>15.5</v>
      </c>
      <c r="W405" s="22">
        <v>15.600000400000001</v>
      </c>
      <c r="X405" s="22">
        <v>10.3708019</v>
      </c>
      <c r="Y405" s="22">
        <v>1007700</v>
      </c>
      <c r="Z405" s="22">
        <v>-6.3692000000000002E-3</v>
      </c>
    </row>
    <row r="406" spans="19:26" ht="16" x14ac:dyDescent="0.2">
      <c r="S406" s="23">
        <v>42723</v>
      </c>
      <c r="T406" s="22">
        <v>15.75</v>
      </c>
      <c r="U406" s="22">
        <v>15.850000400000001</v>
      </c>
      <c r="V406" s="22">
        <v>15.550000199999999</v>
      </c>
      <c r="W406" s="22">
        <v>15.75</v>
      </c>
      <c r="X406" s="22">
        <v>10.470519100000001</v>
      </c>
      <c r="Y406" s="22">
        <v>433900</v>
      </c>
      <c r="Z406" s="22">
        <v>9.6151799999999992E-3</v>
      </c>
    </row>
    <row r="407" spans="19:26" ht="16" x14ac:dyDescent="0.2">
      <c r="S407" s="23">
        <v>42724</v>
      </c>
      <c r="T407" s="22">
        <v>15.899999599999999</v>
      </c>
      <c r="U407" s="22">
        <v>16</v>
      </c>
      <c r="V407" s="22">
        <v>15.600000400000001</v>
      </c>
      <c r="W407" s="22">
        <v>15.899999599999999</v>
      </c>
      <c r="X407" s="22">
        <v>10.570240999999999</v>
      </c>
      <c r="Y407" s="22">
        <v>675000</v>
      </c>
      <c r="Z407" s="22">
        <v>9.5240700000000008E-3</v>
      </c>
    </row>
    <row r="408" spans="19:26" ht="16" x14ac:dyDescent="0.2">
      <c r="S408" s="23">
        <v>42725</v>
      </c>
      <c r="T408" s="22">
        <v>15.949999800000001</v>
      </c>
      <c r="U408" s="22">
        <v>16.049999199999998</v>
      </c>
      <c r="V408" s="22">
        <v>15.699999800000001</v>
      </c>
      <c r="W408" s="22">
        <v>15.75</v>
      </c>
      <c r="X408" s="22">
        <v>10.470519100000001</v>
      </c>
      <c r="Y408" s="22">
        <v>507700</v>
      </c>
      <c r="Z408" s="22">
        <v>-9.4342000000000002E-3</v>
      </c>
    </row>
    <row r="409" spans="19:26" ht="16" x14ac:dyDescent="0.2">
      <c r="S409" s="23">
        <v>42726</v>
      </c>
      <c r="T409" s="22">
        <v>15.649999599999999</v>
      </c>
      <c r="U409" s="22">
        <v>15.850000400000001</v>
      </c>
      <c r="V409" s="22">
        <v>15.5</v>
      </c>
      <c r="W409" s="22">
        <v>15.699999800000001</v>
      </c>
      <c r="X409" s="22">
        <v>10.4372787</v>
      </c>
      <c r="Y409" s="22">
        <v>327100</v>
      </c>
      <c r="Z409" s="22">
        <v>-3.1746999999999999E-3</v>
      </c>
    </row>
    <row r="410" spans="19:26" ht="16" x14ac:dyDescent="0.2">
      <c r="S410" s="23">
        <v>42727</v>
      </c>
      <c r="T410" s="22">
        <v>15.699999800000001</v>
      </c>
      <c r="U410" s="22">
        <v>15.850000400000001</v>
      </c>
      <c r="V410" s="22">
        <v>15.600000400000001</v>
      </c>
      <c r="W410" s="22">
        <v>15.800000199999999</v>
      </c>
      <c r="X410" s="22">
        <v>10.5037594</v>
      </c>
      <c r="Y410" s="22">
        <v>235400</v>
      </c>
      <c r="Z410" s="22">
        <v>6.3695399999999999E-3</v>
      </c>
    </row>
    <row r="411" spans="19:26" ht="16" x14ac:dyDescent="0.2">
      <c r="S411" s="23">
        <v>42731</v>
      </c>
      <c r="T411" s="22">
        <v>15.800000199999999</v>
      </c>
      <c r="U411" s="22">
        <v>15.899999599999999</v>
      </c>
      <c r="V411" s="22">
        <v>15.649999599999999</v>
      </c>
      <c r="W411" s="22">
        <v>15.899999599999999</v>
      </c>
      <c r="X411" s="22">
        <v>10.570240999999999</v>
      </c>
      <c r="Y411" s="22">
        <v>353200</v>
      </c>
      <c r="Z411" s="22">
        <v>6.3293100000000003E-3</v>
      </c>
    </row>
    <row r="412" spans="19:26" ht="16" x14ac:dyDescent="0.2">
      <c r="S412" s="23">
        <v>42732</v>
      </c>
      <c r="T412" s="22">
        <v>15.949999800000001</v>
      </c>
      <c r="U412" s="22">
        <v>16.049999199999998</v>
      </c>
      <c r="V412" s="22">
        <v>15.75</v>
      </c>
      <c r="W412" s="22">
        <v>16</v>
      </c>
      <c r="X412" s="22">
        <v>10.6367207</v>
      </c>
      <c r="Y412" s="22">
        <v>807700</v>
      </c>
      <c r="Z412" s="22">
        <v>6.2893300000000001E-3</v>
      </c>
    </row>
    <row r="413" spans="19:26" ht="16" x14ac:dyDescent="0.2">
      <c r="S413" s="23">
        <v>42733</v>
      </c>
      <c r="T413" s="22">
        <v>15.899999599999999</v>
      </c>
      <c r="U413" s="22">
        <v>16.270000499999998</v>
      </c>
      <c r="V413" s="22">
        <v>15.899999599999999</v>
      </c>
      <c r="W413" s="22">
        <v>16.149999600000001</v>
      </c>
      <c r="X413" s="22">
        <v>10.7364388</v>
      </c>
      <c r="Y413" s="22">
        <v>551900</v>
      </c>
      <c r="Z413" s="22">
        <v>9.3748900000000003E-3</v>
      </c>
    </row>
    <row r="414" spans="19:26" ht="16" x14ac:dyDescent="0.2">
      <c r="S414" s="23">
        <v>42734</v>
      </c>
      <c r="T414" s="22">
        <v>16.200000800000002</v>
      </c>
      <c r="U414" s="22">
        <v>16.25</v>
      </c>
      <c r="V414" s="22">
        <v>15.800000199999999</v>
      </c>
      <c r="W414" s="22">
        <v>15.800000199999999</v>
      </c>
      <c r="X414" s="22">
        <v>10.5037594</v>
      </c>
      <c r="Y414" s="22">
        <v>1156500</v>
      </c>
      <c r="Z414" s="22">
        <v>-2.1671900000000001E-2</v>
      </c>
    </row>
    <row r="415" spans="19:26" ht="16" x14ac:dyDescent="0.2">
      <c r="S415" s="23">
        <v>42738</v>
      </c>
      <c r="T415" s="22">
        <v>16</v>
      </c>
      <c r="U415" s="22">
        <v>16.200000800000002</v>
      </c>
      <c r="V415" s="22">
        <v>15.4300003</v>
      </c>
      <c r="W415" s="22">
        <v>15.699999800000001</v>
      </c>
      <c r="X415" s="22">
        <v>10.4372787</v>
      </c>
      <c r="Y415" s="22">
        <v>732100</v>
      </c>
      <c r="Z415" s="22">
        <v>-6.3292000000000001E-3</v>
      </c>
    </row>
    <row r="416" spans="19:26" ht="16" x14ac:dyDescent="0.2">
      <c r="S416" s="23">
        <v>42739</v>
      </c>
      <c r="T416" s="22">
        <v>15.75</v>
      </c>
      <c r="U416" s="22">
        <v>15.949999800000001</v>
      </c>
      <c r="V416" s="22">
        <v>15.649999599999999</v>
      </c>
      <c r="W416" s="22">
        <v>15.850000400000001</v>
      </c>
      <c r="X416" s="22">
        <v>10.5369978</v>
      </c>
      <c r="Y416" s="22">
        <v>912900</v>
      </c>
      <c r="Z416" s="22">
        <v>9.5541199999999993E-3</v>
      </c>
    </row>
    <row r="417" spans="19:26" ht="16" x14ac:dyDescent="0.2">
      <c r="S417" s="23">
        <v>42740</v>
      </c>
      <c r="T417" s="22">
        <v>15.850000400000001</v>
      </c>
      <c r="U417" s="22">
        <v>16.049999199999998</v>
      </c>
      <c r="V417" s="22">
        <v>15.649999599999999</v>
      </c>
      <c r="W417" s="22">
        <v>15.899999599999999</v>
      </c>
      <c r="X417" s="22">
        <v>10.570240999999999</v>
      </c>
      <c r="Y417" s="22">
        <v>660500</v>
      </c>
      <c r="Z417" s="22">
        <v>3.1549E-3</v>
      </c>
    </row>
    <row r="418" spans="19:26" ht="16" x14ac:dyDescent="0.2">
      <c r="S418" s="23">
        <v>42741</v>
      </c>
      <c r="T418" s="22">
        <v>15.899999599999999</v>
      </c>
      <c r="U418" s="22">
        <v>16.100000399999999</v>
      </c>
      <c r="V418" s="22">
        <v>15.699999800000001</v>
      </c>
      <c r="W418" s="22">
        <v>15.899999599999999</v>
      </c>
      <c r="X418" s="22">
        <v>10.570240999999999</v>
      </c>
      <c r="Y418" s="22">
        <v>444500</v>
      </c>
      <c r="Z418" s="22">
        <v>0</v>
      </c>
    </row>
    <row r="419" spans="19:26" ht="16" x14ac:dyDescent="0.2">
      <c r="S419" s="23">
        <v>42744</v>
      </c>
      <c r="T419" s="22">
        <v>15.949999800000001</v>
      </c>
      <c r="U419" s="22">
        <v>16</v>
      </c>
      <c r="V419" s="22">
        <v>15.649999599999999</v>
      </c>
      <c r="W419" s="22">
        <v>15.800000199999999</v>
      </c>
      <c r="X419" s="22">
        <v>10.5037594</v>
      </c>
      <c r="Y419" s="22">
        <v>320200</v>
      </c>
      <c r="Z419" s="22">
        <v>-6.2895E-3</v>
      </c>
    </row>
    <row r="420" spans="19:26" ht="16" x14ac:dyDescent="0.2">
      <c r="S420" s="23">
        <v>42745</v>
      </c>
      <c r="T420" s="22">
        <v>15.800000199999999</v>
      </c>
      <c r="U420" s="22">
        <v>16</v>
      </c>
      <c r="V420" s="22">
        <v>15.649999599999999</v>
      </c>
      <c r="W420" s="22">
        <v>15.899999599999999</v>
      </c>
      <c r="X420" s="22">
        <v>10.570240999999999</v>
      </c>
      <c r="Y420" s="22">
        <v>469300</v>
      </c>
      <c r="Z420" s="22">
        <v>6.3293100000000003E-3</v>
      </c>
    </row>
    <row r="421" spans="19:26" ht="16" x14ac:dyDescent="0.2">
      <c r="S421" s="23">
        <v>42746</v>
      </c>
      <c r="T421" s="22">
        <v>15.850000400000001</v>
      </c>
      <c r="U421" s="22">
        <v>16.049999199999998</v>
      </c>
      <c r="V421" s="22">
        <v>15.75</v>
      </c>
      <c r="W421" s="22">
        <v>16</v>
      </c>
      <c r="X421" s="22">
        <v>10.6367207</v>
      </c>
      <c r="Y421" s="22">
        <v>329000</v>
      </c>
      <c r="Z421" s="22">
        <v>6.2893300000000001E-3</v>
      </c>
    </row>
    <row r="422" spans="19:26" ht="16" x14ac:dyDescent="0.2">
      <c r="S422" s="23">
        <v>42747</v>
      </c>
      <c r="T422" s="22">
        <v>15.949999800000001</v>
      </c>
      <c r="U422" s="22">
        <v>16</v>
      </c>
      <c r="V422" s="22">
        <v>15.649999599999999</v>
      </c>
      <c r="W422" s="22">
        <v>15.649999599999999</v>
      </c>
      <c r="X422" s="22">
        <v>10.4040403</v>
      </c>
      <c r="Y422" s="22">
        <v>504800</v>
      </c>
      <c r="Z422" s="22">
        <v>-2.1875200000000001E-2</v>
      </c>
    </row>
    <row r="423" spans="19:26" ht="16" x14ac:dyDescent="0.2">
      <c r="S423" s="23">
        <v>42748</v>
      </c>
      <c r="T423" s="22">
        <v>15.699999800000001</v>
      </c>
      <c r="U423" s="22">
        <v>15.899999599999999</v>
      </c>
      <c r="V423" s="22">
        <v>15.550000199999999</v>
      </c>
      <c r="W423" s="22">
        <v>15.649999599999999</v>
      </c>
      <c r="X423" s="22">
        <v>10.4040403</v>
      </c>
      <c r="Y423" s="22">
        <v>557400</v>
      </c>
      <c r="Z423" s="22">
        <v>0</v>
      </c>
    </row>
    <row r="424" spans="19:26" ht="16" x14ac:dyDescent="0.2">
      <c r="S424" s="23">
        <v>42752</v>
      </c>
      <c r="T424" s="22">
        <v>15.649999599999999</v>
      </c>
      <c r="U424" s="22">
        <v>16.700000800000002</v>
      </c>
      <c r="V424" s="22">
        <v>15.649999599999999</v>
      </c>
      <c r="W424" s="22">
        <v>16.600000399999999</v>
      </c>
      <c r="X424" s="22">
        <v>11.0355949</v>
      </c>
      <c r="Y424" s="22">
        <v>1156500</v>
      </c>
      <c r="Z424" s="22">
        <v>6.0702819999999998E-2</v>
      </c>
    </row>
    <row r="425" spans="19:26" ht="16" x14ac:dyDescent="0.2">
      <c r="S425" s="23">
        <v>42753</v>
      </c>
      <c r="T425" s="22">
        <v>16.649999600000001</v>
      </c>
      <c r="U425" s="22">
        <v>16.649999600000001</v>
      </c>
      <c r="V425" s="22">
        <v>16.25</v>
      </c>
      <c r="W425" s="22">
        <v>16.549999199999998</v>
      </c>
      <c r="X425" s="22">
        <v>11.0023556</v>
      </c>
      <c r="Y425" s="22">
        <v>647200</v>
      </c>
      <c r="Z425" s="22">
        <v>-3.0119999999999999E-3</v>
      </c>
    </row>
    <row r="426" spans="19:26" ht="16" x14ac:dyDescent="0.2">
      <c r="S426" s="23">
        <v>42754</v>
      </c>
      <c r="T426" s="22">
        <v>16.549999199999998</v>
      </c>
      <c r="U426" s="22">
        <v>16.75</v>
      </c>
      <c r="V426" s="22">
        <v>16.399999600000001</v>
      </c>
      <c r="W426" s="22">
        <v>16.5</v>
      </c>
      <c r="X426" s="22">
        <v>10.9691162</v>
      </c>
      <c r="Y426" s="22">
        <v>336000</v>
      </c>
      <c r="Z426" s="22">
        <v>-3.0211000000000001E-3</v>
      </c>
    </row>
    <row r="427" spans="19:26" ht="16" x14ac:dyDescent="0.2">
      <c r="S427" s="23">
        <v>42755</v>
      </c>
      <c r="T427" s="22">
        <v>16.450000800000002</v>
      </c>
      <c r="U427" s="22">
        <v>16.899999600000001</v>
      </c>
      <c r="V427" s="22">
        <v>16.450000800000002</v>
      </c>
      <c r="W427" s="22">
        <v>16.850000399999999</v>
      </c>
      <c r="X427" s="22">
        <v>11.2017975</v>
      </c>
      <c r="Y427" s="22">
        <v>529900</v>
      </c>
      <c r="Z427" s="22">
        <v>2.1212399999999999E-2</v>
      </c>
    </row>
    <row r="428" spans="19:26" ht="16" x14ac:dyDescent="0.2">
      <c r="S428" s="23">
        <v>42758</v>
      </c>
      <c r="T428" s="22">
        <v>16.899999600000001</v>
      </c>
      <c r="U428" s="22">
        <v>17.100000399999999</v>
      </c>
      <c r="V428" s="22">
        <v>16.75</v>
      </c>
      <c r="W428" s="22">
        <v>17</v>
      </c>
      <c r="X428" s="22">
        <v>11.301513699999999</v>
      </c>
      <c r="Y428" s="22">
        <v>417700</v>
      </c>
      <c r="Z428" s="22">
        <v>8.9017999999999996E-3</v>
      </c>
    </row>
    <row r="429" spans="19:26" ht="16" x14ac:dyDescent="0.2">
      <c r="S429" s="23">
        <v>42759</v>
      </c>
      <c r="T429" s="22">
        <v>17</v>
      </c>
      <c r="U429" s="22">
        <v>17.25</v>
      </c>
      <c r="V429" s="22">
        <v>16.950000800000002</v>
      </c>
      <c r="W429" s="22">
        <v>17.200000800000002</v>
      </c>
      <c r="X429" s="22">
        <v>11.434474</v>
      </c>
      <c r="Y429" s="22">
        <v>649600</v>
      </c>
      <c r="Z429" s="22">
        <v>1.176482E-2</v>
      </c>
    </row>
    <row r="430" spans="19:26" ht="16" x14ac:dyDescent="0.2">
      <c r="S430" s="23">
        <v>42760</v>
      </c>
      <c r="T430" s="22">
        <v>17.149999600000001</v>
      </c>
      <c r="U430" s="22">
        <v>17.600000399999999</v>
      </c>
      <c r="V430" s="22">
        <v>17.149999600000001</v>
      </c>
      <c r="W430" s="22">
        <v>17.299999199999998</v>
      </c>
      <c r="X430" s="22">
        <v>11.500952699999999</v>
      </c>
      <c r="Y430" s="22">
        <v>705200</v>
      </c>
      <c r="Z430" s="22">
        <v>5.8138900000000004E-3</v>
      </c>
    </row>
    <row r="431" spans="19:26" ht="16" x14ac:dyDescent="0.2">
      <c r="S431" s="23">
        <v>42761</v>
      </c>
      <c r="T431" s="22">
        <v>17.350000399999999</v>
      </c>
      <c r="U431" s="22">
        <v>17.399999600000001</v>
      </c>
      <c r="V431" s="22">
        <v>16.75</v>
      </c>
      <c r="W431" s="22">
        <v>16.899999600000001</v>
      </c>
      <c r="X431" s="22">
        <v>11.2350349</v>
      </c>
      <c r="Y431" s="22">
        <v>484200</v>
      </c>
      <c r="Z431" s="22">
        <v>-2.31214E-2</v>
      </c>
    </row>
    <row r="432" spans="19:26" ht="16" x14ac:dyDescent="0.2">
      <c r="S432" s="23">
        <v>42762</v>
      </c>
      <c r="T432" s="22">
        <v>16.799999199999998</v>
      </c>
      <c r="U432" s="22">
        <v>16.899999600000001</v>
      </c>
      <c r="V432" s="22">
        <v>16.5</v>
      </c>
      <c r="W432" s="22">
        <v>16.600000399999999</v>
      </c>
      <c r="X432" s="22">
        <v>11.0355949</v>
      </c>
      <c r="Y432" s="22">
        <v>413900</v>
      </c>
      <c r="Z432" s="22">
        <v>-1.7751599999999999E-2</v>
      </c>
    </row>
    <row r="433" spans="19:26" ht="16" x14ac:dyDescent="0.2">
      <c r="S433" s="23">
        <v>42765</v>
      </c>
      <c r="T433" s="22">
        <v>16.5</v>
      </c>
      <c r="U433" s="22">
        <v>16.549999199999998</v>
      </c>
      <c r="V433" s="22">
        <v>16.020000499999998</v>
      </c>
      <c r="W433" s="22">
        <v>16.5</v>
      </c>
      <c r="X433" s="22">
        <v>10.9691162</v>
      </c>
      <c r="Y433" s="22">
        <v>501500</v>
      </c>
      <c r="Z433" s="22">
        <v>-6.0239999999999998E-3</v>
      </c>
    </row>
    <row r="434" spans="19:26" ht="16" x14ac:dyDescent="0.2">
      <c r="S434" s="23">
        <v>42766</v>
      </c>
      <c r="T434" s="22">
        <v>16.5</v>
      </c>
      <c r="U434" s="22">
        <v>16.950000800000002</v>
      </c>
      <c r="V434" s="22">
        <v>16.350000399999999</v>
      </c>
      <c r="W434" s="22">
        <v>16.950000800000002</v>
      </c>
      <c r="X434" s="22">
        <v>11.2682772</v>
      </c>
      <c r="Y434" s="22">
        <v>505700</v>
      </c>
      <c r="Z434" s="22">
        <v>2.7273019999999999E-2</v>
      </c>
    </row>
    <row r="435" spans="19:26" ht="16" x14ac:dyDescent="0.2">
      <c r="S435" s="23">
        <v>42767</v>
      </c>
      <c r="T435" s="22">
        <v>17</v>
      </c>
      <c r="U435" s="22">
        <v>17</v>
      </c>
      <c r="V435" s="22">
        <v>16.700000800000002</v>
      </c>
      <c r="W435" s="22">
        <v>16.799999199999998</v>
      </c>
      <c r="X435" s="22">
        <v>11.1685543</v>
      </c>
      <c r="Y435" s="22">
        <v>379600</v>
      </c>
      <c r="Z435" s="22">
        <v>-8.8499000000000008E-3</v>
      </c>
    </row>
    <row r="436" spans="19:26" ht="16" x14ac:dyDescent="0.2">
      <c r="S436" s="23">
        <v>42768</v>
      </c>
      <c r="T436" s="22">
        <v>16.799999199999998</v>
      </c>
      <c r="U436" s="22">
        <v>17.049999199999998</v>
      </c>
      <c r="V436" s="22">
        <v>16.600000399999999</v>
      </c>
      <c r="W436" s="22">
        <v>16.700000800000002</v>
      </c>
      <c r="X436" s="22">
        <v>11.102076500000001</v>
      </c>
      <c r="Y436" s="22">
        <v>445300</v>
      </c>
      <c r="Z436" s="22">
        <v>-5.9522000000000004E-3</v>
      </c>
    </row>
    <row r="437" spans="19:26" ht="16" x14ac:dyDescent="0.2">
      <c r="S437" s="23">
        <v>42769</v>
      </c>
      <c r="T437" s="22">
        <v>16.799999199999998</v>
      </c>
      <c r="U437" s="22">
        <v>17.350000399999999</v>
      </c>
      <c r="V437" s="22">
        <v>16.75</v>
      </c>
      <c r="W437" s="22">
        <v>17.25</v>
      </c>
      <c r="X437" s="22">
        <v>11.467713399999999</v>
      </c>
      <c r="Y437" s="22">
        <v>627100</v>
      </c>
      <c r="Z437" s="22">
        <v>3.2934089999999999E-2</v>
      </c>
    </row>
    <row r="438" spans="19:26" ht="16" x14ac:dyDescent="0.2">
      <c r="S438" s="23">
        <v>42772</v>
      </c>
      <c r="T438" s="22">
        <v>17.25</v>
      </c>
      <c r="U438" s="22">
        <v>17.3799992</v>
      </c>
      <c r="V438" s="22">
        <v>16.950000800000002</v>
      </c>
      <c r="W438" s="22">
        <v>17</v>
      </c>
      <c r="X438" s="22">
        <v>11.301513699999999</v>
      </c>
      <c r="Y438" s="22">
        <v>399200</v>
      </c>
      <c r="Z438" s="22">
        <v>-1.44928E-2</v>
      </c>
    </row>
    <row r="439" spans="19:26" ht="16" x14ac:dyDescent="0.2">
      <c r="S439" s="23">
        <v>42773</v>
      </c>
      <c r="T439" s="22">
        <v>17</v>
      </c>
      <c r="U439" s="22">
        <v>17.100000399999999</v>
      </c>
      <c r="V439" s="22">
        <v>16.639999400000001</v>
      </c>
      <c r="W439" s="22">
        <v>16.899999600000001</v>
      </c>
      <c r="X439" s="22">
        <v>11.2350349</v>
      </c>
      <c r="Y439" s="22">
        <v>430900</v>
      </c>
      <c r="Z439" s="22">
        <v>-5.8823E-3</v>
      </c>
    </row>
    <row r="440" spans="19:26" ht="16" x14ac:dyDescent="0.2">
      <c r="S440" s="23">
        <v>42774</v>
      </c>
      <c r="T440" s="22">
        <v>16.799999199999998</v>
      </c>
      <c r="U440" s="22">
        <v>17.399999600000001</v>
      </c>
      <c r="V440" s="22">
        <v>16.600000399999999</v>
      </c>
      <c r="W440" s="22">
        <v>17.399999600000001</v>
      </c>
      <c r="X440" s="22">
        <v>11.5674343</v>
      </c>
      <c r="Y440" s="22">
        <v>490600</v>
      </c>
      <c r="Z440" s="22">
        <v>2.958597E-2</v>
      </c>
    </row>
    <row r="441" spans="19:26" ht="16" x14ac:dyDescent="0.2">
      <c r="S441" s="23">
        <v>42775</v>
      </c>
      <c r="T441" s="22">
        <v>17.299999199999998</v>
      </c>
      <c r="U441" s="22">
        <v>17.600000399999999</v>
      </c>
      <c r="V441" s="22">
        <v>17.299999199999998</v>
      </c>
      <c r="W441" s="22">
        <v>17.450000800000002</v>
      </c>
      <c r="X441" s="22">
        <v>11.600671800000001</v>
      </c>
      <c r="Y441" s="22">
        <v>516000</v>
      </c>
      <c r="Z441" s="22">
        <v>2.8733600000000002E-3</v>
      </c>
    </row>
    <row r="442" spans="19:26" ht="16" x14ac:dyDescent="0.2">
      <c r="S442" s="23">
        <v>42776</v>
      </c>
      <c r="T442" s="22">
        <v>17.549999199999998</v>
      </c>
      <c r="U442" s="22">
        <v>17.600000399999999</v>
      </c>
      <c r="V442" s="22">
        <v>17.350000399999999</v>
      </c>
      <c r="W442" s="22">
        <v>17.600000399999999</v>
      </c>
      <c r="X442" s="22">
        <v>11.700389899999999</v>
      </c>
      <c r="Y442" s="22">
        <v>451700</v>
      </c>
      <c r="Z442" s="22">
        <v>8.5958900000000001E-3</v>
      </c>
    </row>
    <row r="443" spans="19:26" ht="16" x14ac:dyDescent="0.2">
      <c r="S443" s="23">
        <v>42779</v>
      </c>
      <c r="T443" s="22">
        <v>17.600000399999999</v>
      </c>
      <c r="U443" s="22">
        <v>17.75</v>
      </c>
      <c r="V443" s="22">
        <v>17.299999199999998</v>
      </c>
      <c r="W443" s="22">
        <v>17.450000800000002</v>
      </c>
      <c r="X443" s="22">
        <v>11.600671800000001</v>
      </c>
      <c r="Y443" s="22">
        <v>542000</v>
      </c>
      <c r="Z443" s="22">
        <v>-8.5226E-3</v>
      </c>
    </row>
    <row r="444" spans="19:26" ht="16" x14ac:dyDescent="0.2">
      <c r="S444" s="23">
        <v>42780</v>
      </c>
      <c r="T444" s="22">
        <v>17.5</v>
      </c>
      <c r="U444" s="22">
        <v>17.770000499999998</v>
      </c>
      <c r="V444" s="22">
        <v>17.299999199999998</v>
      </c>
      <c r="W444" s="22">
        <v>17.75</v>
      </c>
      <c r="X444" s="22">
        <v>11.800110800000001</v>
      </c>
      <c r="Y444" s="22">
        <v>695000</v>
      </c>
      <c r="Z444" s="22">
        <v>1.7192030000000001E-2</v>
      </c>
    </row>
    <row r="445" spans="19:26" ht="16" x14ac:dyDescent="0.2">
      <c r="S445" s="23">
        <v>42781</v>
      </c>
      <c r="T445" s="22">
        <v>17.450000800000002</v>
      </c>
      <c r="U445" s="22">
        <v>18.200000800000002</v>
      </c>
      <c r="V445" s="22">
        <v>17.350000399999999</v>
      </c>
      <c r="W445" s="22">
        <v>17.799999199999998</v>
      </c>
      <c r="X445" s="22">
        <v>11.833352100000001</v>
      </c>
      <c r="Y445" s="22">
        <v>1272700</v>
      </c>
      <c r="Z445" s="22">
        <v>2.8170299999999999E-3</v>
      </c>
    </row>
    <row r="446" spans="19:26" ht="16" x14ac:dyDescent="0.2">
      <c r="S446" s="23">
        <v>42782</v>
      </c>
      <c r="T446" s="22">
        <v>17.75</v>
      </c>
      <c r="U446" s="22">
        <v>18</v>
      </c>
      <c r="V446" s="22">
        <v>17.549999199999998</v>
      </c>
      <c r="W446" s="22">
        <v>17.649999600000001</v>
      </c>
      <c r="X446" s="22">
        <v>11.733632999999999</v>
      </c>
      <c r="Y446" s="22">
        <v>486900</v>
      </c>
      <c r="Z446" s="22">
        <v>-8.4268999999999993E-3</v>
      </c>
    </row>
    <row r="447" spans="19:26" ht="16" x14ac:dyDescent="0.2">
      <c r="S447" s="23">
        <v>42783</v>
      </c>
      <c r="T447" s="22">
        <v>17.700000800000002</v>
      </c>
      <c r="U447" s="22">
        <v>17.700000800000002</v>
      </c>
      <c r="V447" s="22">
        <v>17.149999600000001</v>
      </c>
      <c r="W447" s="22">
        <v>17.5</v>
      </c>
      <c r="X447" s="22">
        <v>11.633911100000001</v>
      </c>
      <c r="Y447" s="22">
        <v>631100</v>
      </c>
      <c r="Z447" s="22">
        <v>-8.4988000000000008E-3</v>
      </c>
    </row>
    <row r="448" spans="19:26" ht="16" x14ac:dyDescent="0.2">
      <c r="S448" s="23">
        <v>42787</v>
      </c>
      <c r="T448" s="22">
        <v>17.649999600000001</v>
      </c>
      <c r="U448" s="22">
        <v>18</v>
      </c>
      <c r="V448" s="22">
        <v>17.549999199999998</v>
      </c>
      <c r="W448" s="22">
        <v>17.799999199999998</v>
      </c>
      <c r="X448" s="22">
        <v>11.833352100000001</v>
      </c>
      <c r="Y448" s="22">
        <v>542200</v>
      </c>
      <c r="Z448" s="22">
        <v>1.714307E-2</v>
      </c>
    </row>
    <row r="449" spans="19:26" ht="16" x14ac:dyDescent="0.2">
      <c r="S449" s="23">
        <v>42788</v>
      </c>
      <c r="T449" s="22">
        <v>17.75</v>
      </c>
      <c r="U449" s="22">
        <v>17.850000399999999</v>
      </c>
      <c r="V449" s="22">
        <v>17.5</v>
      </c>
      <c r="W449" s="22">
        <v>17.700000800000002</v>
      </c>
      <c r="X449" s="22">
        <v>11.7668705</v>
      </c>
      <c r="Y449" s="22">
        <v>216600</v>
      </c>
      <c r="Z449" s="22">
        <v>-5.6182000000000003E-3</v>
      </c>
    </row>
    <row r="450" spans="19:26" ht="16" x14ac:dyDescent="0.2">
      <c r="S450" s="23">
        <v>42789</v>
      </c>
      <c r="T450" s="22">
        <v>17.799999199999998</v>
      </c>
      <c r="U450" s="22">
        <v>18</v>
      </c>
      <c r="V450" s="22">
        <v>17.450000800000002</v>
      </c>
      <c r="W450" s="22">
        <v>17.899999600000001</v>
      </c>
      <c r="X450" s="22">
        <v>11.899827</v>
      </c>
      <c r="Y450" s="22">
        <v>614300</v>
      </c>
      <c r="Z450" s="22">
        <v>1.129922E-2</v>
      </c>
    </row>
    <row r="451" spans="19:26" ht="16" x14ac:dyDescent="0.2">
      <c r="S451" s="23">
        <v>42790</v>
      </c>
      <c r="T451" s="22">
        <v>17.899999600000001</v>
      </c>
      <c r="U451" s="22">
        <v>18.100000399999999</v>
      </c>
      <c r="V451" s="22">
        <v>17.649999600000001</v>
      </c>
      <c r="W451" s="22">
        <v>18</v>
      </c>
      <c r="X451" s="22">
        <v>11.966306700000001</v>
      </c>
      <c r="Y451" s="22">
        <v>545200</v>
      </c>
      <c r="Z451" s="22">
        <v>5.5866099999999997E-3</v>
      </c>
    </row>
    <row r="452" spans="19:26" ht="16" x14ac:dyDescent="0.2">
      <c r="S452" s="23">
        <v>42793</v>
      </c>
      <c r="T452" s="22">
        <v>17.649999600000001</v>
      </c>
      <c r="U452" s="22">
        <v>17.75</v>
      </c>
      <c r="V452" s="22">
        <v>17.450000800000002</v>
      </c>
      <c r="W452" s="22">
        <v>17.549999199999998</v>
      </c>
      <c r="X452" s="22">
        <v>11.8381443</v>
      </c>
      <c r="Y452" s="22">
        <v>399600</v>
      </c>
      <c r="Z452" s="22">
        <v>-1.0710300000000001E-2</v>
      </c>
    </row>
    <row r="453" spans="19:26" ht="16" x14ac:dyDescent="0.2">
      <c r="S453" s="23">
        <v>42794</v>
      </c>
      <c r="T453" s="22">
        <v>17.799999199999998</v>
      </c>
      <c r="U453" s="22">
        <v>18.100000399999999</v>
      </c>
      <c r="V453" s="22">
        <v>17.350000399999999</v>
      </c>
      <c r="W453" s="22">
        <v>17.399999600000001</v>
      </c>
      <c r="X453" s="22">
        <v>11.736964199999999</v>
      </c>
      <c r="Y453" s="22">
        <v>573600</v>
      </c>
      <c r="Z453" s="22">
        <v>-8.5470000000000008E-3</v>
      </c>
    </row>
    <row r="454" spans="19:26" ht="16" x14ac:dyDescent="0.2">
      <c r="S454" s="23">
        <v>42795</v>
      </c>
      <c r="T454" s="22">
        <v>17.200000800000002</v>
      </c>
      <c r="U454" s="22">
        <v>17.399999600000001</v>
      </c>
      <c r="V454" s="22">
        <v>16.950000800000002</v>
      </c>
      <c r="W454" s="22">
        <v>17.149999600000001</v>
      </c>
      <c r="X454" s="22">
        <v>11.5683308</v>
      </c>
      <c r="Y454" s="22">
        <v>429200</v>
      </c>
      <c r="Z454" s="22">
        <v>-1.4367700000000001E-2</v>
      </c>
    </row>
    <row r="455" spans="19:26" ht="16" x14ac:dyDescent="0.2">
      <c r="S455" s="23">
        <v>42796</v>
      </c>
      <c r="T455" s="22">
        <v>17.100000399999999</v>
      </c>
      <c r="U455" s="22">
        <v>17.25</v>
      </c>
      <c r="V455" s="22">
        <v>16.899999600000001</v>
      </c>
      <c r="W455" s="22">
        <v>17.100000399999999</v>
      </c>
      <c r="X455" s="22">
        <v>11.5346069</v>
      </c>
      <c r="Y455" s="22">
        <v>395000</v>
      </c>
      <c r="Z455" s="22">
        <v>-2.9152000000000002E-3</v>
      </c>
    </row>
    <row r="456" spans="19:26" ht="16" x14ac:dyDescent="0.2">
      <c r="S456" s="23">
        <v>42797</v>
      </c>
      <c r="T456" s="22">
        <v>17.149999600000001</v>
      </c>
      <c r="U456" s="22">
        <v>17.149999600000001</v>
      </c>
      <c r="V456" s="22">
        <v>16.799999199999998</v>
      </c>
      <c r="W456" s="22">
        <v>17.100000399999999</v>
      </c>
      <c r="X456" s="22">
        <v>11.5346069</v>
      </c>
      <c r="Y456" s="22">
        <v>448300</v>
      </c>
      <c r="Z456" s="22">
        <v>0</v>
      </c>
    </row>
    <row r="457" spans="19:26" ht="16" x14ac:dyDescent="0.2">
      <c r="S457" s="23">
        <v>42800</v>
      </c>
      <c r="T457" s="22">
        <v>17</v>
      </c>
      <c r="U457" s="22">
        <v>17.100000399999999</v>
      </c>
      <c r="V457" s="22">
        <v>16.799999199999998</v>
      </c>
      <c r="W457" s="22">
        <v>16.899999600000001</v>
      </c>
      <c r="X457" s="22">
        <v>11.399698300000001</v>
      </c>
      <c r="Y457" s="22">
        <v>403800</v>
      </c>
      <c r="Z457" s="22">
        <v>-1.1696E-2</v>
      </c>
    </row>
    <row r="458" spans="19:26" ht="16" x14ac:dyDescent="0.2">
      <c r="S458" s="23">
        <v>42801</v>
      </c>
      <c r="T458" s="22">
        <v>16.899999600000001</v>
      </c>
      <c r="U458" s="22">
        <v>16.950000800000002</v>
      </c>
      <c r="V458" s="22">
        <v>16.579999900000001</v>
      </c>
      <c r="W458" s="22">
        <v>16.649999600000001</v>
      </c>
      <c r="X458" s="22">
        <v>11.2310629</v>
      </c>
      <c r="Y458" s="22">
        <v>358700</v>
      </c>
      <c r="Z458" s="22">
        <v>-1.4793000000000001E-2</v>
      </c>
    </row>
    <row r="459" spans="19:26" ht="16" x14ac:dyDescent="0.2">
      <c r="S459" s="23">
        <v>42802</v>
      </c>
      <c r="T459" s="22">
        <v>16.649999600000001</v>
      </c>
      <c r="U459" s="22">
        <v>16.649999600000001</v>
      </c>
      <c r="V459" s="22">
        <v>16.350000399999999</v>
      </c>
      <c r="W459" s="22">
        <v>16.5</v>
      </c>
      <c r="X459" s="22">
        <v>11.129878</v>
      </c>
      <c r="Y459" s="22">
        <v>483200</v>
      </c>
      <c r="Z459" s="22">
        <v>-9.0094000000000007E-3</v>
      </c>
    </row>
    <row r="460" spans="19:26" ht="16" x14ac:dyDescent="0.2">
      <c r="S460" s="23">
        <v>42803</v>
      </c>
      <c r="T460" s="22">
        <v>16.399999600000001</v>
      </c>
      <c r="U460" s="22">
        <v>16.899999600000001</v>
      </c>
      <c r="V460" s="22">
        <v>16.399999600000001</v>
      </c>
      <c r="W460" s="22">
        <v>16.700000800000002</v>
      </c>
      <c r="X460" s="22">
        <v>11.2647905</v>
      </c>
      <c r="Y460" s="22">
        <v>615600</v>
      </c>
      <c r="Z460" s="22">
        <v>1.2121649999999999E-2</v>
      </c>
    </row>
    <row r="461" spans="19:26" ht="16" x14ac:dyDescent="0.2">
      <c r="S461" s="23">
        <v>42804</v>
      </c>
      <c r="T461" s="22">
        <v>16.700000800000002</v>
      </c>
      <c r="U461" s="22">
        <v>16.799999199999998</v>
      </c>
      <c r="V461" s="22">
        <v>16.299999199999998</v>
      </c>
      <c r="W461" s="22">
        <v>16.5</v>
      </c>
      <c r="X461" s="22">
        <v>11.129878</v>
      </c>
      <c r="Y461" s="22">
        <v>556800</v>
      </c>
      <c r="Z461" s="22">
        <v>-1.1976499999999999E-2</v>
      </c>
    </row>
    <row r="462" spans="19:26" ht="16" x14ac:dyDescent="0.2">
      <c r="S462" s="23">
        <v>42807</v>
      </c>
      <c r="T462" s="22">
        <v>16.5</v>
      </c>
      <c r="U462" s="22">
        <v>16.700000800000002</v>
      </c>
      <c r="V462" s="22">
        <v>16.350000399999999</v>
      </c>
      <c r="W462" s="22">
        <v>16.5</v>
      </c>
      <c r="X462" s="22">
        <v>11.129878</v>
      </c>
      <c r="Y462" s="22">
        <v>223600</v>
      </c>
      <c r="Z462" s="22">
        <v>0</v>
      </c>
    </row>
    <row r="463" spans="19:26" ht="16" x14ac:dyDescent="0.2">
      <c r="S463" s="23">
        <v>42808</v>
      </c>
      <c r="T463" s="22">
        <v>16.600000399999999</v>
      </c>
      <c r="U463" s="22">
        <v>16.600000399999999</v>
      </c>
      <c r="V463" s="22">
        <v>16.350000399999999</v>
      </c>
      <c r="W463" s="22">
        <v>16.5</v>
      </c>
      <c r="X463" s="22">
        <v>11.129878</v>
      </c>
      <c r="Y463" s="22">
        <v>204300</v>
      </c>
      <c r="Z463" s="22">
        <v>0</v>
      </c>
    </row>
    <row r="464" spans="19:26" ht="16" x14ac:dyDescent="0.2">
      <c r="S464" s="23">
        <v>42809</v>
      </c>
      <c r="T464" s="22">
        <v>16.600000399999999</v>
      </c>
      <c r="U464" s="22">
        <v>17.149999600000001</v>
      </c>
      <c r="V464" s="22">
        <v>16.5</v>
      </c>
      <c r="W464" s="22">
        <v>16.950000800000002</v>
      </c>
      <c r="X464" s="22">
        <v>11.433426900000001</v>
      </c>
      <c r="Y464" s="22">
        <v>445900</v>
      </c>
      <c r="Z464" s="22">
        <v>2.7273329999999998E-2</v>
      </c>
    </row>
    <row r="465" spans="19:26" ht="16" x14ac:dyDescent="0.2">
      <c r="S465" s="23">
        <v>42810</v>
      </c>
      <c r="T465" s="22">
        <v>17</v>
      </c>
      <c r="U465" s="22">
        <v>17.149999600000001</v>
      </c>
      <c r="V465" s="22">
        <v>16.899999600000001</v>
      </c>
      <c r="W465" s="22">
        <v>17.100000399999999</v>
      </c>
      <c r="X465" s="22">
        <v>11.5346069</v>
      </c>
      <c r="Y465" s="22">
        <v>435700</v>
      </c>
      <c r="Z465" s="22">
        <v>8.8494999999999997E-3</v>
      </c>
    </row>
    <row r="466" spans="19:26" ht="16" x14ac:dyDescent="0.2">
      <c r="S466" s="23">
        <v>42811</v>
      </c>
      <c r="T466" s="22">
        <v>17.100000399999999</v>
      </c>
      <c r="U466" s="22">
        <v>17.350000399999999</v>
      </c>
      <c r="V466" s="22">
        <v>16.850000399999999</v>
      </c>
      <c r="W466" s="22">
        <v>17.049999199999998</v>
      </c>
      <c r="X466" s="22">
        <v>11.5008774</v>
      </c>
      <c r="Y466" s="22">
        <v>878500</v>
      </c>
      <c r="Z466" s="22">
        <v>-2.9242000000000001E-3</v>
      </c>
    </row>
    <row r="467" spans="19:26" ht="16" x14ac:dyDescent="0.2">
      <c r="S467" s="23">
        <v>42814</v>
      </c>
      <c r="T467" s="22">
        <v>16.950000800000002</v>
      </c>
      <c r="U467" s="22">
        <v>17.1299992</v>
      </c>
      <c r="V467" s="22">
        <v>16.850000399999999</v>
      </c>
      <c r="W467" s="22">
        <v>16.950000800000002</v>
      </c>
      <c r="X467" s="22">
        <v>11.433426900000001</v>
      </c>
      <c r="Y467" s="22">
        <v>426300</v>
      </c>
      <c r="Z467" s="22">
        <v>-5.8647999999999999E-3</v>
      </c>
    </row>
    <row r="468" spans="19:26" ht="16" x14ac:dyDescent="0.2">
      <c r="S468" s="23">
        <v>42815</v>
      </c>
      <c r="T468" s="22">
        <v>17</v>
      </c>
      <c r="U468" s="22">
        <v>17.200000800000002</v>
      </c>
      <c r="V468" s="22">
        <v>16.850000399999999</v>
      </c>
      <c r="W468" s="22">
        <v>16.899999600000001</v>
      </c>
      <c r="X468" s="22">
        <v>11.399698300000001</v>
      </c>
      <c r="Y468" s="22">
        <v>410400</v>
      </c>
      <c r="Z468" s="22">
        <v>-2.9499999999999999E-3</v>
      </c>
    </row>
    <row r="469" spans="19:26" ht="16" x14ac:dyDescent="0.2">
      <c r="S469" s="23">
        <v>42816</v>
      </c>
      <c r="T469" s="22">
        <v>17</v>
      </c>
      <c r="U469" s="22">
        <v>17</v>
      </c>
      <c r="V469" s="22">
        <v>16.6200008</v>
      </c>
      <c r="W469" s="22">
        <v>16.75</v>
      </c>
      <c r="X469" s="22">
        <v>11.298513399999999</v>
      </c>
      <c r="Y469" s="22">
        <v>310700</v>
      </c>
      <c r="Z469" s="22">
        <v>-8.8760999999999996E-3</v>
      </c>
    </row>
    <row r="470" spans="19:26" ht="16" x14ac:dyDescent="0.2">
      <c r="S470" s="23">
        <v>42817</v>
      </c>
      <c r="T470" s="22">
        <v>16.799999199999998</v>
      </c>
      <c r="U470" s="22">
        <v>17</v>
      </c>
      <c r="V470" s="22">
        <v>16.649999600000001</v>
      </c>
      <c r="W470" s="22">
        <v>16.799999199999998</v>
      </c>
      <c r="X470" s="22">
        <v>11.332242000000001</v>
      </c>
      <c r="Y470" s="22">
        <v>236800</v>
      </c>
      <c r="Z470" s="22">
        <v>2.9852199999999998E-3</v>
      </c>
    </row>
    <row r="471" spans="19:26" ht="16" x14ac:dyDescent="0.2">
      <c r="S471" s="23">
        <v>42818</v>
      </c>
      <c r="T471" s="22">
        <v>16.75</v>
      </c>
      <c r="U471" s="22">
        <v>17.100000399999999</v>
      </c>
      <c r="V471" s="22">
        <v>16.75</v>
      </c>
      <c r="W471" s="22">
        <v>16.950000800000002</v>
      </c>
      <c r="X471" s="22">
        <v>11.433426900000001</v>
      </c>
      <c r="Y471" s="22">
        <v>273100</v>
      </c>
      <c r="Z471" s="22">
        <v>8.9289299999999999E-3</v>
      </c>
    </row>
    <row r="472" spans="19:26" ht="16" x14ac:dyDescent="0.2">
      <c r="S472" s="23">
        <v>42821</v>
      </c>
      <c r="T472" s="22">
        <v>16.950000800000002</v>
      </c>
      <c r="U472" s="22">
        <v>17.25</v>
      </c>
      <c r="V472" s="22">
        <v>16.8799992</v>
      </c>
      <c r="W472" s="22">
        <v>17.149999600000001</v>
      </c>
      <c r="X472" s="22">
        <v>11.5683308</v>
      </c>
      <c r="Y472" s="22">
        <v>209300</v>
      </c>
      <c r="Z472" s="22">
        <v>1.179908E-2</v>
      </c>
    </row>
    <row r="473" spans="19:26" ht="16" x14ac:dyDescent="0.2">
      <c r="S473" s="23">
        <v>42822</v>
      </c>
      <c r="T473" s="22">
        <v>17.200000800000002</v>
      </c>
      <c r="U473" s="22">
        <v>17.450000800000002</v>
      </c>
      <c r="V473" s="22">
        <v>17.149999600000001</v>
      </c>
      <c r="W473" s="22">
        <v>17.299999199999998</v>
      </c>
      <c r="X473" s="22">
        <v>11.6695118</v>
      </c>
      <c r="Y473" s="22">
        <v>362600</v>
      </c>
      <c r="Z473" s="22">
        <v>8.7463799999999998E-3</v>
      </c>
    </row>
    <row r="474" spans="19:26" ht="16" x14ac:dyDescent="0.2">
      <c r="S474" s="23">
        <v>42823</v>
      </c>
      <c r="T474" s="22">
        <v>17.350000399999999</v>
      </c>
      <c r="U474" s="22">
        <v>17.700000800000002</v>
      </c>
      <c r="V474" s="22">
        <v>17.25</v>
      </c>
      <c r="W474" s="22">
        <v>17.450000800000002</v>
      </c>
      <c r="X474" s="22">
        <v>11.7706947</v>
      </c>
      <c r="Y474" s="22">
        <v>518800</v>
      </c>
      <c r="Z474" s="22">
        <v>8.6707099999999999E-3</v>
      </c>
    </row>
    <row r="475" spans="19:26" ht="16" x14ac:dyDescent="0.2">
      <c r="S475" s="23">
        <v>42824</v>
      </c>
      <c r="T475" s="22">
        <v>17.399999600000001</v>
      </c>
      <c r="U475" s="22">
        <v>17.649999600000001</v>
      </c>
      <c r="V475" s="22">
        <v>17.25</v>
      </c>
      <c r="W475" s="22">
        <v>17.600000399999999</v>
      </c>
      <c r="X475" s="22">
        <v>11.871874800000001</v>
      </c>
      <c r="Y475" s="22">
        <v>291600</v>
      </c>
      <c r="Z475" s="22">
        <v>8.5959299999999999E-3</v>
      </c>
    </row>
    <row r="476" spans="19:26" ht="16" x14ac:dyDescent="0.2">
      <c r="S476" s="23">
        <v>42825</v>
      </c>
      <c r="T476" s="22">
        <v>17.549999199999998</v>
      </c>
      <c r="U476" s="22">
        <v>17.899999600000001</v>
      </c>
      <c r="V476" s="22">
        <v>17.5</v>
      </c>
      <c r="W476" s="22">
        <v>17.700000800000002</v>
      </c>
      <c r="X476" s="22">
        <v>11.9393253</v>
      </c>
      <c r="Y476" s="22">
        <v>543500</v>
      </c>
      <c r="Z476" s="22">
        <v>5.6815399999999997E-3</v>
      </c>
    </row>
    <row r="477" spans="19:26" ht="16" x14ac:dyDescent="0.2">
      <c r="S477" s="23">
        <v>42828</v>
      </c>
      <c r="T477" s="22">
        <v>17.600000399999999</v>
      </c>
      <c r="U477" s="22">
        <v>17.700000800000002</v>
      </c>
      <c r="V477" s="22">
        <v>17.149999600000001</v>
      </c>
      <c r="W477" s="22">
        <v>17.299999199999998</v>
      </c>
      <c r="X477" s="22">
        <v>11.6695118</v>
      </c>
      <c r="Y477" s="22">
        <v>546800</v>
      </c>
      <c r="Z477" s="22">
        <v>-2.2598699999999999E-2</v>
      </c>
    </row>
    <row r="478" spans="19:26" ht="16" x14ac:dyDescent="0.2">
      <c r="S478" s="23">
        <v>42829</v>
      </c>
      <c r="T478" s="22">
        <v>17.25</v>
      </c>
      <c r="U478" s="22">
        <v>17.600000399999999</v>
      </c>
      <c r="V478" s="22">
        <v>17.100000399999999</v>
      </c>
      <c r="W478" s="22">
        <v>17.5</v>
      </c>
      <c r="X478" s="22">
        <v>11.8044195</v>
      </c>
      <c r="Y478" s="22">
        <v>391900</v>
      </c>
      <c r="Z478" s="22">
        <v>1.15607E-2</v>
      </c>
    </row>
    <row r="479" spans="19:26" ht="16" x14ac:dyDescent="0.2">
      <c r="S479" s="23">
        <v>42830</v>
      </c>
      <c r="T479" s="22">
        <v>17.5</v>
      </c>
      <c r="U479" s="22">
        <v>17.899999600000001</v>
      </c>
      <c r="V479" s="22">
        <v>17.399999600000001</v>
      </c>
      <c r="W479" s="22">
        <v>17.5</v>
      </c>
      <c r="X479" s="22">
        <v>11.8044195</v>
      </c>
      <c r="Y479" s="22">
        <v>524600</v>
      </c>
      <c r="Z479" s="22">
        <v>0</v>
      </c>
    </row>
    <row r="480" spans="19:26" ht="16" x14ac:dyDescent="0.2">
      <c r="S480" s="23">
        <v>42831</v>
      </c>
      <c r="T480" s="22">
        <v>17.399999600000001</v>
      </c>
      <c r="U480" s="22">
        <v>17.549999199999998</v>
      </c>
      <c r="V480" s="22">
        <v>17.200000800000002</v>
      </c>
      <c r="W480" s="22">
        <v>17.5</v>
      </c>
      <c r="X480" s="22">
        <v>11.8044195</v>
      </c>
      <c r="Y480" s="22">
        <v>404600</v>
      </c>
      <c r="Z480" s="22">
        <v>0</v>
      </c>
    </row>
    <row r="481" spans="19:26" ht="16" x14ac:dyDescent="0.2">
      <c r="S481" s="23">
        <v>42832</v>
      </c>
      <c r="T481" s="22">
        <v>17.5</v>
      </c>
      <c r="U481" s="22">
        <v>17.700000800000002</v>
      </c>
      <c r="V481" s="22">
        <v>17.299999199999998</v>
      </c>
      <c r="W481" s="22">
        <v>17.350000399999999</v>
      </c>
      <c r="X481" s="22">
        <v>11.703238499999999</v>
      </c>
      <c r="Y481" s="22">
        <v>765000</v>
      </c>
      <c r="Z481" s="22">
        <v>-8.5714999999999993E-3</v>
      </c>
    </row>
    <row r="482" spans="19:26" ht="16" x14ac:dyDescent="0.2">
      <c r="S482" s="23">
        <v>42835</v>
      </c>
      <c r="T482" s="22">
        <v>17.299999199999998</v>
      </c>
      <c r="U482" s="22">
        <v>17.799999199999998</v>
      </c>
      <c r="V482" s="22">
        <v>17.299999199999998</v>
      </c>
      <c r="W482" s="22">
        <v>17.549999199999998</v>
      </c>
      <c r="X482" s="22">
        <v>11.8381443</v>
      </c>
      <c r="Y482" s="22">
        <v>407400</v>
      </c>
      <c r="Z482" s="22">
        <v>1.1527219999999999E-2</v>
      </c>
    </row>
    <row r="483" spans="19:26" ht="16" x14ac:dyDescent="0.2">
      <c r="S483" s="23">
        <v>42836</v>
      </c>
      <c r="T483" s="22">
        <v>17.600000399999999</v>
      </c>
      <c r="U483" s="22">
        <v>17.850000399999999</v>
      </c>
      <c r="V483" s="22">
        <v>17.5</v>
      </c>
      <c r="W483" s="22">
        <v>17.75</v>
      </c>
      <c r="X483" s="22">
        <v>11.973051999999999</v>
      </c>
      <c r="Y483" s="22">
        <v>388300</v>
      </c>
      <c r="Z483" s="22">
        <v>1.139602E-2</v>
      </c>
    </row>
    <row r="484" spans="19:26" ht="16" x14ac:dyDescent="0.2">
      <c r="S484" s="23">
        <v>42837</v>
      </c>
      <c r="T484" s="22">
        <v>17.75</v>
      </c>
      <c r="U484" s="22">
        <v>18.049999199999998</v>
      </c>
      <c r="V484" s="22">
        <v>17.6299992</v>
      </c>
      <c r="W484" s="22">
        <v>17.850000399999999</v>
      </c>
      <c r="X484" s="22">
        <v>12.0405064</v>
      </c>
      <c r="Y484" s="22">
        <v>381700</v>
      </c>
      <c r="Z484" s="22">
        <v>5.6338500000000001E-3</v>
      </c>
    </row>
    <row r="485" spans="19:26" ht="16" x14ac:dyDescent="0.2">
      <c r="S485" s="23">
        <v>42838</v>
      </c>
      <c r="T485" s="22">
        <v>17.149999600000001</v>
      </c>
      <c r="U485" s="22">
        <v>17.75</v>
      </c>
      <c r="V485" s="22">
        <v>17.149999600000001</v>
      </c>
      <c r="W485" s="22">
        <v>17.200000800000002</v>
      </c>
      <c r="X485" s="22">
        <v>11.602057500000001</v>
      </c>
      <c r="Y485" s="22">
        <v>1095500</v>
      </c>
      <c r="Z485" s="22">
        <v>-3.6414500000000002E-2</v>
      </c>
    </row>
    <row r="486" spans="19:26" ht="16" x14ac:dyDescent="0.2">
      <c r="S486" s="23">
        <v>42842</v>
      </c>
      <c r="T486" s="22">
        <v>17.200000800000002</v>
      </c>
      <c r="U486" s="22">
        <v>17.5</v>
      </c>
      <c r="V486" s="22">
        <v>17.200000800000002</v>
      </c>
      <c r="W486" s="22">
        <v>17.5</v>
      </c>
      <c r="X486" s="22">
        <v>11.8044195</v>
      </c>
      <c r="Y486" s="22">
        <v>238400</v>
      </c>
      <c r="Z486" s="22">
        <v>1.7441910000000001E-2</v>
      </c>
    </row>
    <row r="487" spans="19:26" ht="16" x14ac:dyDescent="0.2">
      <c r="S487" s="23">
        <v>42843</v>
      </c>
      <c r="T487" s="22">
        <v>17.450000800000002</v>
      </c>
      <c r="U487" s="22">
        <v>17.549999199999998</v>
      </c>
      <c r="V487" s="22">
        <v>17.299999199999998</v>
      </c>
      <c r="W487" s="22">
        <v>17.399999600000001</v>
      </c>
      <c r="X487" s="22">
        <v>11.736964199999999</v>
      </c>
      <c r="Y487" s="22">
        <v>533300</v>
      </c>
      <c r="Z487" s="22">
        <v>-5.7143999999999997E-3</v>
      </c>
    </row>
    <row r="488" spans="19:26" ht="16" x14ac:dyDescent="0.2">
      <c r="S488" s="23">
        <v>42844</v>
      </c>
      <c r="T488" s="22">
        <v>17.450000800000002</v>
      </c>
      <c r="U488" s="22">
        <v>17.6800003</v>
      </c>
      <c r="V488" s="22">
        <v>17.200000800000002</v>
      </c>
      <c r="W488" s="22">
        <v>17.200000800000002</v>
      </c>
      <c r="X488" s="22">
        <v>11.602057500000001</v>
      </c>
      <c r="Y488" s="22">
        <v>252500</v>
      </c>
      <c r="Z488" s="22">
        <v>-1.14942E-2</v>
      </c>
    </row>
    <row r="489" spans="19:26" ht="16" x14ac:dyDescent="0.2">
      <c r="S489" s="23">
        <v>42845</v>
      </c>
      <c r="T489" s="22">
        <v>17.200000800000002</v>
      </c>
      <c r="U489" s="22">
        <v>17.399999600000001</v>
      </c>
      <c r="V489" s="22">
        <v>17.149999600000001</v>
      </c>
      <c r="W489" s="22">
        <v>17.299999199999998</v>
      </c>
      <c r="X489" s="22">
        <v>11.6695118</v>
      </c>
      <c r="Y489" s="22">
        <v>356800</v>
      </c>
      <c r="Z489" s="22">
        <v>5.8139999999999997E-3</v>
      </c>
    </row>
    <row r="490" spans="19:26" ht="16" x14ac:dyDescent="0.2">
      <c r="S490" s="23">
        <v>42846</v>
      </c>
      <c r="T490" s="22">
        <v>17.200000800000002</v>
      </c>
      <c r="U490" s="22">
        <v>17.649999600000001</v>
      </c>
      <c r="V490" s="22">
        <v>17.200000800000002</v>
      </c>
      <c r="W490" s="22">
        <v>17.450000800000002</v>
      </c>
      <c r="X490" s="22">
        <v>11.7706947</v>
      </c>
      <c r="Y490" s="22">
        <v>324600</v>
      </c>
      <c r="Z490" s="22">
        <v>8.6707099999999999E-3</v>
      </c>
    </row>
    <row r="491" spans="19:26" ht="16" x14ac:dyDescent="0.2">
      <c r="S491" s="23">
        <v>42849</v>
      </c>
      <c r="T491" s="22">
        <v>17.600000399999999</v>
      </c>
      <c r="U491" s="22">
        <v>17.75</v>
      </c>
      <c r="V491" s="22">
        <v>17.450000800000002</v>
      </c>
      <c r="W491" s="22">
        <v>17.549999199999998</v>
      </c>
      <c r="X491" s="22">
        <v>11.8381443</v>
      </c>
      <c r="Y491" s="22">
        <v>386200</v>
      </c>
      <c r="Z491" s="22">
        <v>5.7302999999999998E-3</v>
      </c>
    </row>
    <row r="492" spans="19:26" ht="16" x14ac:dyDescent="0.2">
      <c r="S492" s="23">
        <v>42850</v>
      </c>
      <c r="T492" s="22">
        <v>17.450000800000002</v>
      </c>
      <c r="U492" s="22">
        <v>17.75</v>
      </c>
      <c r="V492" s="22">
        <v>17.450000800000002</v>
      </c>
      <c r="W492" s="22">
        <v>17.549999199999998</v>
      </c>
      <c r="X492" s="22">
        <v>11.8381443</v>
      </c>
      <c r="Y492" s="22">
        <v>423500</v>
      </c>
      <c r="Z492" s="22">
        <v>0</v>
      </c>
    </row>
    <row r="493" spans="19:26" ht="16" x14ac:dyDescent="0.2">
      <c r="S493" s="23">
        <v>42851</v>
      </c>
      <c r="T493" s="22">
        <v>17.600000399999999</v>
      </c>
      <c r="U493" s="22">
        <v>17.649999600000001</v>
      </c>
      <c r="V493" s="22">
        <v>17.399999600000001</v>
      </c>
      <c r="W493" s="22">
        <v>17.549999199999998</v>
      </c>
      <c r="X493" s="22">
        <v>11.8381443</v>
      </c>
      <c r="Y493" s="22">
        <v>441600</v>
      </c>
      <c r="Z493" s="22">
        <v>0</v>
      </c>
    </row>
    <row r="494" spans="19:26" ht="16" x14ac:dyDescent="0.2">
      <c r="S494" s="23">
        <v>42852</v>
      </c>
      <c r="T494" s="22">
        <v>17.600000399999999</v>
      </c>
      <c r="U494" s="22">
        <v>17.700000800000002</v>
      </c>
      <c r="V494" s="22">
        <v>17.5</v>
      </c>
      <c r="W494" s="22">
        <v>17.600000399999999</v>
      </c>
      <c r="X494" s="22">
        <v>11.871874800000001</v>
      </c>
      <c r="Y494" s="22">
        <v>250300</v>
      </c>
      <c r="Z494" s="22">
        <v>2.8493099999999999E-3</v>
      </c>
    </row>
    <row r="495" spans="19:26" ht="16" x14ac:dyDescent="0.2">
      <c r="S495" s="23">
        <v>42853</v>
      </c>
      <c r="T495" s="22">
        <v>17.649999600000001</v>
      </c>
      <c r="U495" s="22">
        <v>17.799999199999998</v>
      </c>
      <c r="V495" s="22">
        <v>17.5</v>
      </c>
      <c r="W495" s="22">
        <v>17.700000800000002</v>
      </c>
      <c r="X495" s="22">
        <v>11.9393253</v>
      </c>
      <c r="Y495" s="22">
        <v>402500</v>
      </c>
      <c r="Z495" s="22">
        <v>5.6815399999999997E-3</v>
      </c>
    </row>
    <row r="496" spans="19:26" ht="16" x14ac:dyDescent="0.2">
      <c r="S496" s="23">
        <v>42856</v>
      </c>
      <c r="T496" s="22">
        <v>17.799999199999998</v>
      </c>
      <c r="U496" s="22">
        <v>17.799999199999998</v>
      </c>
      <c r="V496" s="22">
        <v>17.200000800000002</v>
      </c>
      <c r="W496" s="22">
        <v>17.25</v>
      </c>
      <c r="X496" s="22">
        <v>11.635783200000001</v>
      </c>
      <c r="Y496" s="22">
        <v>611800</v>
      </c>
      <c r="Z496" s="22">
        <v>-2.54237E-2</v>
      </c>
    </row>
    <row r="497" spans="19:26" ht="16" x14ac:dyDescent="0.2">
      <c r="S497" s="23">
        <v>42857</v>
      </c>
      <c r="T497" s="22">
        <v>17.350000399999999</v>
      </c>
      <c r="U497" s="22">
        <v>17.450000800000002</v>
      </c>
      <c r="V497" s="22">
        <v>17.020000499999998</v>
      </c>
      <c r="W497" s="22">
        <v>17.299999199999998</v>
      </c>
      <c r="X497" s="22">
        <v>11.6695118</v>
      </c>
      <c r="Y497" s="22">
        <v>557500</v>
      </c>
      <c r="Z497" s="22">
        <v>2.8987000000000001E-3</v>
      </c>
    </row>
    <row r="498" spans="19:26" ht="16" x14ac:dyDescent="0.2">
      <c r="S498" s="23">
        <v>42858</v>
      </c>
      <c r="T498" s="22">
        <v>17.200000800000002</v>
      </c>
      <c r="U498" s="22">
        <v>17.350000399999999</v>
      </c>
      <c r="V498" s="22">
        <v>16.75</v>
      </c>
      <c r="W498" s="22">
        <v>16.850000399999999</v>
      </c>
      <c r="X498" s="22">
        <v>11.3659678</v>
      </c>
      <c r="Y498" s="22">
        <v>778200</v>
      </c>
      <c r="Z498" s="22">
        <v>-2.6011699999999999E-2</v>
      </c>
    </row>
    <row r="499" spans="19:26" ht="16" x14ac:dyDescent="0.2">
      <c r="S499" s="23">
        <v>42859</v>
      </c>
      <c r="T499" s="22">
        <v>16.899999600000001</v>
      </c>
      <c r="U499" s="22">
        <v>17.100000399999999</v>
      </c>
      <c r="V499" s="22">
        <v>16.450000800000002</v>
      </c>
      <c r="W499" s="22">
        <v>16.649999600000001</v>
      </c>
      <c r="X499" s="22">
        <v>11.2310629</v>
      </c>
      <c r="Y499" s="22">
        <v>460000</v>
      </c>
      <c r="Z499" s="22">
        <v>-1.18692E-2</v>
      </c>
    </row>
    <row r="500" spans="19:26" ht="16" x14ac:dyDescent="0.2">
      <c r="S500" s="23">
        <v>42860</v>
      </c>
      <c r="T500" s="22">
        <v>16.75</v>
      </c>
      <c r="U500" s="22">
        <v>17.200000800000002</v>
      </c>
      <c r="V500" s="22">
        <v>16.649999600000001</v>
      </c>
      <c r="W500" s="22">
        <v>17.100000399999999</v>
      </c>
      <c r="X500" s="22">
        <v>11.5346069</v>
      </c>
      <c r="Y500" s="22">
        <v>260200</v>
      </c>
      <c r="Z500" s="22">
        <v>2.702719E-2</v>
      </c>
    </row>
    <row r="501" spans="19:26" ht="16" x14ac:dyDescent="0.2">
      <c r="S501" s="23">
        <v>42863</v>
      </c>
      <c r="T501" s="22">
        <v>17.149999600000001</v>
      </c>
      <c r="U501" s="22">
        <v>17.25</v>
      </c>
      <c r="V501" s="22">
        <v>16.899999600000001</v>
      </c>
      <c r="W501" s="22">
        <v>17.049999199999998</v>
      </c>
      <c r="X501" s="22">
        <v>11.5008774</v>
      </c>
      <c r="Y501" s="22">
        <v>288400</v>
      </c>
      <c r="Z501" s="22">
        <v>-2.9242000000000001E-3</v>
      </c>
    </row>
    <row r="502" spans="19:26" ht="16" x14ac:dyDescent="0.2">
      <c r="S502" s="23">
        <v>42864</v>
      </c>
      <c r="T502" s="22">
        <v>17.049999199999998</v>
      </c>
      <c r="U502" s="22">
        <v>17.149999600000001</v>
      </c>
      <c r="V502" s="22">
        <v>16.899999600000001</v>
      </c>
      <c r="W502" s="22">
        <v>17</v>
      </c>
      <c r="X502" s="22">
        <v>11.467150699999999</v>
      </c>
      <c r="Y502" s="22">
        <v>323400</v>
      </c>
      <c r="Z502" s="22">
        <v>-2.9325000000000002E-3</v>
      </c>
    </row>
    <row r="503" spans="19:26" ht="16" x14ac:dyDescent="0.2">
      <c r="S503" s="23">
        <v>42865</v>
      </c>
      <c r="T503" s="22">
        <v>17</v>
      </c>
      <c r="U503" s="22">
        <v>17.25</v>
      </c>
      <c r="V503" s="22">
        <v>16.950000800000002</v>
      </c>
      <c r="W503" s="22">
        <v>17.149999600000001</v>
      </c>
      <c r="X503" s="22">
        <v>11.5683308</v>
      </c>
      <c r="Y503" s="22">
        <v>291600</v>
      </c>
      <c r="Z503" s="22">
        <v>8.8234699999999999E-3</v>
      </c>
    </row>
    <row r="504" spans="19:26" ht="16" x14ac:dyDescent="0.2">
      <c r="S504" s="23">
        <v>42866</v>
      </c>
      <c r="T504" s="22">
        <v>17.049999199999998</v>
      </c>
      <c r="U504" s="22">
        <v>17.299999199999998</v>
      </c>
      <c r="V504" s="22">
        <v>17</v>
      </c>
      <c r="W504" s="22">
        <v>17.100000399999999</v>
      </c>
      <c r="X504" s="22">
        <v>11.5346069</v>
      </c>
      <c r="Y504" s="22">
        <v>223500</v>
      </c>
      <c r="Z504" s="22">
        <v>-2.9152000000000002E-3</v>
      </c>
    </row>
    <row r="505" spans="19:26" ht="16" x14ac:dyDescent="0.2">
      <c r="S505" s="23">
        <v>42867</v>
      </c>
      <c r="T505" s="22">
        <v>17.100000399999999</v>
      </c>
      <c r="U505" s="22">
        <v>17.299999199999998</v>
      </c>
      <c r="V505" s="22">
        <v>17</v>
      </c>
      <c r="W505" s="22">
        <v>17.100000399999999</v>
      </c>
      <c r="X505" s="22">
        <v>11.5346069</v>
      </c>
      <c r="Y505" s="22">
        <v>331800</v>
      </c>
      <c r="Z505" s="22">
        <v>0</v>
      </c>
    </row>
    <row r="506" spans="19:26" ht="16" x14ac:dyDescent="0.2">
      <c r="S506" s="23">
        <v>42870</v>
      </c>
      <c r="T506" s="22">
        <v>17.149999600000001</v>
      </c>
      <c r="U506" s="22">
        <v>17.450000800000002</v>
      </c>
      <c r="V506" s="22">
        <v>17.100000399999999</v>
      </c>
      <c r="W506" s="22">
        <v>17.299999199999998</v>
      </c>
      <c r="X506" s="22">
        <v>11.6695118</v>
      </c>
      <c r="Y506" s="22">
        <v>368400</v>
      </c>
      <c r="Z506" s="22">
        <v>1.169566E-2</v>
      </c>
    </row>
    <row r="507" spans="19:26" ht="16" x14ac:dyDescent="0.2">
      <c r="S507" s="23">
        <v>42871</v>
      </c>
      <c r="T507" s="22">
        <v>17.299999199999998</v>
      </c>
      <c r="U507" s="22">
        <v>17.350000399999999</v>
      </c>
      <c r="V507" s="22">
        <v>17.049999199999998</v>
      </c>
      <c r="W507" s="22">
        <v>17.200000800000002</v>
      </c>
      <c r="X507" s="22">
        <v>11.602057500000001</v>
      </c>
      <c r="Y507" s="22">
        <v>498300</v>
      </c>
      <c r="Z507" s="22">
        <v>-5.7803999999999998E-3</v>
      </c>
    </row>
    <row r="508" spans="19:26" ht="16" x14ac:dyDescent="0.2">
      <c r="S508" s="23">
        <v>42872</v>
      </c>
      <c r="T508" s="22">
        <v>17.149999600000001</v>
      </c>
      <c r="U508" s="22">
        <v>17.25</v>
      </c>
      <c r="V508" s="22">
        <v>16.899999600000001</v>
      </c>
      <c r="W508" s="22">
        <v>17.149999600000001</v>
      </c>
      <c r="X508" s="22">
        <v>11.5683308</v>
      </c>
      <c r="Y508" s="22">
        <v>392300</v>
      </c>
      <c r="Z508" s="22">
        <v>-2.9069999999999999E-3</v>
      </c>
    </row>
    <row r="509" spans="19:26" ht="16" x14ac:dyDescent="0.2">
      <c r="S509" s="23">
        <v>42873</v>
      </c>
      <c r="T509" s="22">
        <v>17.100000399999999</v>
      </c>
      <c r="U509" s="22">
        <v>17.200000800000002</v>
      </c>
      <c r="V509" s="22">
        <v>16.899999600000001</v>
      </c>
      <c r="W509" s="22">
        <v>17.049999199999998</v>
      </c>
      <c r="X509" s="22">
        <v>11.5008774</v>
      </c>
      <c r="Y509" s="22">
        <v>259700</v>
      </c>
      <c r="Z509" s="22">
        <v>-5.8309E-3</v>
      </c>
    </row>
    <row r="510" spans="19:26" ht="16" x14ac:dyDescent="0.2">
      <c r="S510" s="23">
        <v>42874</v>
      </c>
      <c r="T510" s="22">
        <v>17.049999199999998</v>
      </c>
      <c r="U510" s="22">
        <v>17.549999199999998</v>
      </c>
      <c r="V510" s="22">
        <v>17.049999199999998</v>
      </c>
      <c r="W510" s="22">
        <v>17.399999600000001</v>
      </c>
      <c r="X510" s="22">
        <v>11.736964199999999</v>
      </c>
      <c r="Y510" s="22">
        <v>655900</v>
      </c>
      <c r="Z510" s="22">
        <v>2.0527719999999999E-2</v>
      </c>
    </row>
    <row r="511" spans="19:26" ht="16" x14ac:dyDescent="0.2">
      <c r="S511" s="23">
        <v>42877</v>
      </c>
      <c r="T511" s="22">
        <v>17.25</v>
      </c>
      <c r="U511" s="22">
        <v>17.75</v>
      </c>
      <c r="V511" s="22">
        <v>17.25</v>
      </c>
      <c r="W511" s="22">
        <v>17.75</v>
      </c>
      <c r="X511" s="22">
        <v>11.973051999999999</v>
      </c>
      <c r="Y511" s="22">
        <v>301700</v>
      </c>
      <c r="Z511" s="22">
        <v>2.011489E-2</v>
      </c>
    </row>
    <row r="512" spans="19:26" ht="16" x14ac:dyDescent="0.2">
      <c r="S512" s="23">
        <v>42878</v>
      </c>
      <c r="T512" s="22">
        <v>17.75</v>
      </c>
      <c r="U512" s="22">
        <v>17.9300003</v>
      </c>
      <c r="V512" s="22">
        <v>17.520000499999998</v>
      </c>
      <c r="W512" s="22">
        <v>17.600000399999999</v>
      </c>
      <c r="X512" s="22">
        <v>11.871874800000001</v>
      </c>
      <c r="Y512" s="22">
        <v>404500</v>
      </c>
      <c r="Z512" s="22">
        <v>-8.4504000000000003E-3</v>
      </c>
    </row>
    <row r="513" spans="19:26" ht="16" x14ac:dyDescent="0.2">
      <c r="S513" s="23">
        <v>42879</v>
      </c>
      <c r="T513" s="22">
        <v>17.600000399999999</v>
      </c>
      <c r="U513" s="22">
        <v>18.049999199999998</v>
      </c>
      <c r="V513" s="22">
        <v>17.549999199999998</v>
      </c>
      <c r="W513" s="22">
        <v>18</v>
      </c>
      <c r="X513" s="22">
        <v>12.1416883</v>
      </c>
      <c r="Y513" s="22">
        <v>701000</v>
      </c>
      <c r="Z513" s="22">
        <v>2.272712E-2</v>
      </c>
    </row>
    <row r="514" spans="19:26" ht="16" x14ac:dyDescent="0.2">
      <c r="S514" s="23">
        <v>42880</v>
      </c>
      <c r="T514" s="22">
        <v>18.200000800000002</v>
      </c>
      <c r="U514" s="22">
        <v>18.350000399999999</v>
      </c>
      <c r="V514" s="22">
        <v>17.850000399999999</v>
      </c>
      <c r="W514" s="22">
        <v>18.049999199999998</v>
      </c>
      <c r="X514" s="22">
        <v>12.175416</v>
      </c>
      <c r="Y514" s="22">
        <v>757500</v>
      </c>
      <c r="Z514" s="22">
        <v>2.7778400000000002E-3</v>
      </c>
    </row>
    <row r="515" spans="19:26" ht="16" x14ac:dyDescent="0.2">
      <c r="S515" s="23">
        <v>42881</v>
      </c>
      <c r="T515" s="22">
        <v>18</v>
      </c>
      <c r="U515" s="22">
        <v>18.350000399999999</v>
      </c>
      <c r="V515" s="22">
        <v>17.700000800000002</v>
      </c>
      <c r="W515" s="22">
        <v>18.350000399999999</v>
      </c>
      <c r="X515" s="22">
        <v>12.377780899999999</v>
      </c>
      <c r="Y515" s="22">
        <v>561300</v>
      </c>
      <c r="Z515" s="22">
        <v>1.6620780000000002E-2</v>
      </c>
    </row>
    <row r="516" spans="19:26" ht="16" x14ac:dyDescent="0.2">
      <c r="S516" s="23">
        <v>42885</v>
      </c>
      <c r="T516" s="22">
        <v>18</v>
      </c>
      <c r="U516" s="22">
        <v>18.100000399999999</v>
      </c>
      <c r="V516" s="22">
        <v>17.700000800000002</v>
      </c>
      <c r="W516" s="22">
        <v>17.850000399999999</v>
      </c>
      <c r="X516" s="22">
        <v>12.220314999999999</v>
      </c>
      <c r="Y516" s="22">
        <v>467700</v>
      </c>
      <c r="Z516" s="22">
        <v>-1.2721700000000001E-2</v>
      </c>
    </row>
    <row r="517" spans="19:26" ht="16" x14ac:dyDescent="0.2">
      <c r="S517" s="23">
        <v>42886</v>
      </c>
      <c r="T517" s="22">
        <v>17.700000800000002</v>
      </c>
      <c r="U517" s="22">
        <v>17.899999600000001</v>
      </c>
      <c r="V517" s="22">
        <v>17.549999199999998</v>
      </c>
      <c r="W517" s="22">
        <v>17.700000800000002</v>
      </c>
      <c r="X517" s="22">
        <v>12.1176224</v>
      </c>
      <c r="Y517" s="22">
        <v>350300</v>
      </c>
      <c r="Z517" s="22">
        <v>-8.4034000000000001E-3</v>
      </c>
    </row>
    <row r="518" spans="19:26" ht="16" x14ac:dyDescent="0.2">
      <c r="S518" s="23">
        <v>42887</v>
      </c>
      <c r="T518" s="22">
        <v>17.799999199999998</v>
      </c>
      <c r="U518" s="22">
        <v>18.100000399999999</v>
      </c>
      <c r="V518" s="22">
        <v>17.649999600000001</v>
      </c>
      <c r="W518" s="22">
        <v>18</v>
      </c>
      <c r="X518" s="22">
        <v>12.3230085</v>
      </c>
      <c r="Y518" s="22">
        <v>408300</v>
      </c>
      <c r="Z518" s="22">
        <v>1.694938E-2</v>
      </c>
    </row>
    <row r="519" spans="19:26" ht="16" x14ac:dyDescent="0.2">
      <c r="S519" s="23">
        <v>42888</v>
      </c>
      <c r="T519" s="22">
        <v>18</v>
      </c>
      <c r="U519" s="22">
        <v>18.25</v>
      </c>
      <c r="V519" s="22">
        <v>17.75</v>
      </c>
      <c r="W519" s="22">
        <v>17.899999600000001</v>
      </c>
      <c r="X519" s="22">
        <v>12.254544299999999</v>
      </c>
      <c r="Y519" s="22">
        <v>451000</v>
      </c>
      <c r="Z519" s="22">
        <v>-5.5557999999999996E-3</v>
      </c>
    </row>
    <row r="520" spans="19:26" ht="16" x14ac:dyDescent="0.2">
      <c r="S520" s="23">
        <v>42891</v>
      </c>
      <c r="T520" s="22">
        <v>17.799999199999998</v>
      </c>
      <c r="U520" s="22">
        <v>17.850000399999999</v>
      </c>
      <c r="V520" s="22">
        <v>17.600000399999999</v>
      </c>
      <c r="W520" s="22">
        <v>17.649999600000001</v>
      </c>
      <c r="X520" s="22">
        <v>12.083394999999999</v>
      </c>
      <c r="Y520" s="22">
        <v>273100</v>
      </c>
      <c r="Z520" s="22">
        <v>-1.39662E-2</v>
      </c>
    </row>
    <row r="521" spans="19:26" ht="16" x14ac:dyDescent="0.2">
      <c r="S521" s="23">
        <v>42892</v>
      </c>
      <c r="T521" s="22">
        <v>17.600000399999999</v>
      </c>
      <c r="U521" s="22">
        <v>17.850000399999999</v>
      </c>
      <c r="V521" s="22">
        <v>17.4300003</v>
      </c>
      <c r="W521" s="22">
        <v>17.649999600000001</v>
      </c>
      <c r="X521" s="22">
        <v>12.083394999999999</v>
      </c>
      <c r="Y521" s="22">
        <v>538300</v>
      </c>
      <c r="Z521" s="22">
        <v>0</v>
      </c>
    </row>
    <row r="522" spans="19:26" ht="16" x14ac:dyDescent="0.2">
      <c r="S522" s="23">
        <v>42893</v>
      </c>
      <c r="T522" s="22">
        <v>17.700000800000002</v>
      </c>
      <c r="U522" s="22">
        <v>17.799999199999998</v>
      </c>
      <c r="V522" s="22">
        <v>17.450000800000002</v>
      </c>
      <c r="W522" s="22">
        <v>17.549999199999998</v>
      </c>
      <c r="X522" s="22">
        <v>12.014930700000001</v>
      </c>
      <c r="Y522" s="22">
        <v>322400</v>
      </c>
      <c r="Z522" s="22">
        <v>-5.666E-3</v>
      </c>
    </row>
    <row r="523" spans="19:26" ht="16" x14ac:dyDescent="0.2">
      <c r="S523" s="23">
        <v>42894</v>
      </c>
      <c r="T523" s="22">
        <v>17.450000800000002</v>
      </c>
      <c r="U523" s="22">
        <v>17.700000800000002</v>
      </c>
      <c r="V523" s="22">
        <v>17.299999199999998</v>
      </c>
      <c r="W523" s="22">
        <v>17.700000800000002</v>
      </c>
      <c r="X523" s="22">
        <v>12.1176224</v>
      </c>
      <c r="Y523" s="22">
        <v>242700</v>
      </c>
      <c r="Z523" s="22">
        <v>8.5470000000000008E-3</v>
      </c>
    </row>
    <row r="524" spans="19:26" ht="16" x14ac:dyDescent="0.2">
      <c r="S524" s="23">
        <v>42895</v>
      </c>
      <c r="T524" s="22">
        <v>17.75</v>
      </c>
      <c r="U524" s="22">
        <v>17.979999500000002</v>
      </c>
      <c r="V524" s="22">
        <v>17.6299992</v>
      </c>
      <c r="W524" s="22">
        <v>17.75</v>
      </c>
      <c r="X524" s="22">
        <v>12.151853600000001</v>
      </c>
      <c r="Y524" s="22">
        <v>529000</v>
      </c>
      <c r="Z524" s="22">
        <v>2.8249099999999999E-3</v>
      </c>
    </row>
    <row r="525" spans="19:26" ht="16" x14ac:dyDescent="0.2">
      <c r="S525" s="23">
        <v>42898</v>
      </c>
      <c r="T525" s="22">
        <v>17.799999199999998</v>
      </c>
      <c r="U525" s="22">
        <v>18</v>
      </c>
      <c r="V525" s="22">
        <v>17.5</v>
      </c>
      <c r="W525" s="22">
        <v>17.600000399999999</v>
      </c>
      <c r="X525" s="22">
        <v>12.0491648</v>
      </c>
      <c r="Y525" s="22">
        <v>585500</v>
      </c>
      <c r="Z525" s="22">
        <v>-8.4504999999999997E-3</v>
      </c>
    </row>
    <row r="526" spans="19:26" ht="16" x14ac:dyDescent="0.2">
      <c r="S526" s="23">
        <v>42899</v>
      </c>
      <c r="T526" s="22">
        <v>17.600000399999999</v>
      </c>
      <c r="U526" s="22">
        <v>17.700000800000002</v>
      </c>
      <c r="V526" s="22">
        <v>17.450000800000002</v>
      </c>
      <c r="W526" s="22">
        <v>17.700000800000002</v>
      </c>
      <c r="X526" s="22">
        <v>12.1176224</v>
      </c>
      <c r="Y526" s="22">
        <v>241400</v>
      </c>
      <c r="Z526" s="22">
        <v>5.6815199999999998E-3</v>
      </c>
    </row>
    <row r="527" spans="19:26" ht="16" x14ac:dyDescent="0.2">
      <c r="S527" s="23">
        <v>42900</v>
      </c>
      <c r="T527" s="22">
        <v>17.75</v>
      </c>
      <c r="U527" s="22">
        <v>17.950000800000002</v>
      </c>
      <c r="V527" s="22">
        <v>17.399999600000001</v>
      </c>
      <c r="W527" s="22">
        <v>17.5</v>
      </c>
      <c r="X527" s="22">
        <v>11.9807024</v>
      </c>
      <c r="Y527" s="22">
        <v>373300</v>
      </c>
      <c r="Z527" s="22">
        <v>-1.1299200000000001E-2</v>
      </c>
    </row>
    <row r="528" spans="19:26" ht="16" x14ac:dyDescent="0.2">
      <c r="S528" s="23">
        <v>42901</v>
      </c>
      <c r="T528" s="22">
        <v>17.350000399999999</v>
      </c>
      <c r="U528" s="22">
        <v>17.649999600000001</v>
      </c>
      <c r="V528" s="22">
        <v>17.299999199999998</v>
      </c>
      <c r="W528" s="22">
        <v>17.5</v>
      </c>
      <c r="X528" s="22">
        <v>11.9807024</v>
      </c>
      <c r="Y528" s="22">
        <v>222900</v>
      </c>
      <c r="Z528" s="22">
        <v>0</v>
      </c>
    </row>
    <row r="529" spans="19:26" ht="16" x14ac:dyDescent="0.2">
      <c r="S529" s="23">
        <v>42902</v>
      </c>
      <c r="T529" s="22">
        <v>17.399999600000001</v>
      </c>
      <c r="U529" s="22">
        <v>17.700000800000002</v>
      </c>
      <c r="V529" s="22">
        <v>17.25</v>
      </c>
      <c r="W529" s="22">
        <v>17.549999199999998</v>
      </c>
      <c r="X529" s="22">
        <v>12.014930700000001</v>
      </c>
      <c r="Y529" s="22">
        <v>935400</v>
      </c>
      <c r="Z529" s="22">
        <v>2.85695E-3</v>
      </c>
    </row>
    <row r="530" spans="19:26" ht="16" x14ac:dyDescent="0.2">
      <c r="S530" s="23">
        <v>42905</v>
      </c>
      <c r="T530" s="22">
        <v>17.649999600000001</v>
      </c>
      <c r="U530" s="22">
        <v>17.75</v>
      </c>
      <c r="V530" s="22">
        <v>17.25</v>
      </c>
      <c r="W530" s="22">
        <v>17.299999199999998</v>
      </c>
      <c r="X530" s="22">
        <v>11.8437796</v>
      </c>
      <c r="Y530" s="22">
        <v>538300</v>
      </c>
      <c r="Z530" s="22">
        <v>-1.42449E-2</v>
      </c>
    </row>
    <row r="531" spans="19:26" ht="16" x14ac:dyDescent="0.2">
      <c r="S531" s="23">
        <v>42906</v>
      </c>
      <c r="T531" s="22">
        <v>17.25</v>
      </c>
      <c r="U531" s="22">
        <v>17.549999199999998</v>
      </c>
      <c r="V531" s="22">
        <v>17.25</v>
      </c>
      <c r="W531" s="22">
        <v>17.350000399999999</v>
      </c>
      <c r="X531" s="22">
        <v>11.878009799999999</v>
      </c>
      <c r="Y531" s="22">
        <v>310500</v>
      </c>
      <c r="Z531" s="22">
        <v>2.8901399999999998E-3</v>
      </c>
    </row>
    <row r="532" spans="19:26" ht="16" x14ac:dyDescent="0.2">
      <c r="S532" s="23">
        <v>42907</v>
      </c>
      <c r="T532" s="22">
        <v>17.350000399999999</v>
      </c>
      <c r="U532" s="22">
        <v>17.479999500000002</v>
      </c>
      <c r="V532" s="22">
        <v>17.100000399999999</v>
      </c>
      <c r="W532" s="22">
        <v>17.25</v>
      </c>
      <c r="X532" s="22">
        <v>11.809548400000001</v>
      </c>
      <c r="Y532" s="22">
        <v>584000</v>
      </c>
      <c r="Z532" s="22">
        <v>-5.7637000000000001E-3</v>
      </c>
    </row>
    <row r="533" spans="19:26" ht="16" x14ac:dyDescent="0.2">
      <c r="S533" s="23">
        <v>42908</v>
      </c>
      <c r="T533" s="22">
        <v>17.25</v>
      </c>
      <c r="U533" s="22">
        <v>18.25</v>
      </c>
      <c r="V533" s="22">
        <v>17.25</v>
      </c>
      <c r="W533" s="22">
        <v>18.200000800000002</v>
      </c>
      <c r="X533" s="22">
        <v>12.4599314</v>
      </c>
      <c r="Y533" s="22">
        <v>835400</v>
      </c>
      <c r="Z533" s="22">
        <v>5.5072639999999999E-2</v>
      </c>
    </row>
    <row r="534" spans="19:26" ht="16" x14ac:dyDescent="0.2">
      <c r="S534" s="23">
        <v>42909</v>
      </c>
      <c r="T534" s="22">
        <v>18.25</v>
      </c>
      <c r="U534" s="22">
        <v>18.299999199999998</v>
      </c>
      <c r="V534" s="22">
        <v>17.75</v>
      </c>
      <c r="W534" s="22">
        <v>17.799999199999998</v>
      </c>
      <c r="X534" s="22">
        <v>12.1860847</v>
      </c>
      <c r="Y534" s="22">
        <v>616800</v>
      </c>
      <c r="Z534" s="22">
        <v>-2.19782E-2</v>
      </c>
    </row>
    <row r="535" spans="19:26" ht="16" x14ac:dyDescent="0.2">
      <c r="S535" s="23">
        <v>42912</v>
      </c>
      <c r="T535" s="22">
        <v>17.799999199999998</v>
      </c>
      <c r="U535" s="22">
        <v>18.299999199999998</v>
      </c>
      <c r="V535" s="22">
        <v>17.75</v>
      </c>
      <c r="W535" s="22">
        <v>18.100000399999999</v>
      </c>
      <c r="X535" s="22">
        <v>12.391468</v>
      </c>
      <c r="Y535" s="22">
        <v>451300</v>
      </c>
      <c r="Z535" s="22">
        <v>1.6853920000000001E-2</v>
      </c>
    </row>
    <row r="536" spans="19:26" ht="16" x14ac:dyDescent="0.2">
      <c r="S536" s="23">
        <v>42913</v>
      </c>
      <c r="T536" s="22">
        <v>18.149999600000001</v>
      </c>
      <c r="U536" s="22">
        <v>18.350000399999999</v>
      </c>
      <c r="V536" s="22">
        <v>17.899999600000001</v>
      </c>
      <c r="W536" s="22">
        <v>17.899999600000001</v>
      </c>
      <c r="X536" s="22">
        <v>12.254544299999999</v>
      </c>
      <c r="Y536" s="22">
        <v>315200</v>
      </c>
      <c r="Z536" s="22">
        <v>-1.10498E-2</v>
      </c>
    </row>
    <row r="537" spans="19:26" ht="16" x14ac:dyDescent="0.2">
      <c r="S537" s="23">
        <v>42914</v>
      </c>
      <c r="T537" s="22">
        <v>18</v>
      </c>
      <c r="U537" s="22">
        <v>18.149999600000001</v>
      </c>
      <c r="V537" s="22">
        <v>17.75</v>
      </c>
      <c r="W537" s="22">
        <v>17.799999199999998</v>
      </c>
      <c r="X537" s="22">
        <v>12.1860847</v>
      </c>
      <c r="Y537" s="22">
        <v>303700</v>
      </c>
      <c r="Z537" s="22">
        <v>-5.5865000000000003E-3</v>
      </c>
    </row>
    <row r="538" spans="19:26" ht="16" x14ac:dyDescent="0.2">
      <c r="S538" s="23">
        <v>42915</v>
      </c>
      <c r="T538" s="22">
        <v>17.850000399999999</v>
      </c>
      <c r="U538" s="22">
        <v>17.899999600000001</v>
      </c>
      <c r="V538" s="22">
        <v>17.399999600000001</v>
      </c>
      <c r="W538" s="22">
        <v>17.700000800000002</v>
      </c>
      <c r="X538" s="22">
        <v>12.1176224</v>
      </c>
      <c r="Y538" s="22">
        <v>332500</v>
      </c>
      <c r="Z538" s="22">
        <v>-5.6181E-3</v>
      </c>
    </row>
    <row r="539" spans="19:26" ht="16" x14ac:dyDescent="0.2">
      <c r="S539" s="23">
        <v>42916</v>
      </c>
      <c r="T539" s="22">
        <v>17.700000800000002</v>
      </c>
      <c r="U539" s="22">
        <v>17.770000499999998</v>
      </c>
      <c r="V539" s="22">
        <v>17.450000800000002</v>
      </c>
      <c r="W539" s="22">
        <v>17.600000399999999</v>
      </c>
      <c r="X539" s="22">
        <v>12.0491648</v>
      </c>
      <c r="Y539" s="22">
        <v>333300</v>
      </c>
      <c r="Z539" s="22">
        <v>-5.6493999999999997E-3</v>
      </c>
    </row>
    <row r="540" spans="19:26" ht="16" x14ac:dyDescent="0.2">
      <c r="S540" s="23">
        <v>42919</v>
      </c>
      <c r="T540" s="22">
        <v>17.600000399999999</v>
      </c>
      <c r="U540" s="22">
        <v>17.799999199999998</v>
      </c>
      <c r="V540" s="22">
        <v>17.299999199999998</v>
      </c>
      <c r="W540" s="22">
        <v>17.399999600000001</v>
      </c>
      <c r="X540" s="22">
        <v>11.912239100000001</v>
      </c>
      <c r="Y540" s="22">
        <v>242100</v>
      </c>
      <c r="Z540" s="22">
        <v>-1.13639E-2</v>
      </c>
    </row>
    <row r="541" spans="19:26" ht="16" x14ac:dyDescent="0.2">
      <c r="S541" s="23">
        <v>42921</v>
      </c>
      <c r="T541" s="22">
        <v>17.350000399999999</v>
      </c>
      <c r="U541" s="22">
        <v>17.450000800000002</v>
      </c>
      <c r="V541" s="22">
        <v>16.950000800000002</v>
      </c>
      <c r="W541" s="22">
        <v>17.299999199999998</v>
      </c>
      <c r="X541" s="22">
        <v>11.8437796</v>
      </c>
      <c r="Y541" s="22">
        <v>513100</v>
      </c>
      <c r="Z541" s="22">
        <v>-5.7470000000000004E-3</v>
      </c>
    </row>
    <row r="542" spans="19:26" ht="16" x14ac:dyDescent="0.2">
      <c r="S542" s="23">
        <v>42922</v>
      </c>
      <c r="T542" s="22">
        <v>17.25</v>
      </c>
      <c r="U542" s="22">
        <v>17.299999199999998</v>
      </c>
      <c r="V542" s="22">
        <v>17</v>
      </c>
      <c r="W542" s="22">
        <v>17.149999600000001</v>
      </c>
      <c r="X542" s="22">
        <v>11.7410879</v>
      </c>
      <c r="Y542" s="22">
        <v>499800</v>
      </c>
      <c r="Z542" s="22">
        <v>-8.6704999999999994E-3</v>
      </c>
    </row>
    <row r="543" spans="19:26" ht="16" x14ac:dyDescent="0.2">
      <c r="S543" s="23">
        <v>42923</v>
      </c>
      <c r="T543" s="22">
        <v>17.100000399999999</v>
      </c>
      <c r="U543" s="22">
        <v>17.200000800000002</v>
      </c>
      <c r="V543" s="22">
        <v>16.950000800000002</v>
      </c>
      <c r="W543" s="22">
        <v>17.100000399999999</v>
      </c>
      <c r="X543" s="22">
        <v>11.706860499999999</v>
      </c>
      <c r="Y543" s="22">
        <v>400700</v>
      </c>
      <c r="Z543" s="22">
        <v>-2.9152000000000002E-3</v>
      </c>
    </row>
    <row r="544" spans="19:26" ht="16" x14ac:dyDescent="0.2">
      <c r="S544" s="23">
        <v>42926</v>
      </c>
      <c r="T544" s="22">
        <v>17.149999600000001</v>
      </c>
      <c r="U544" s="22">
        <v>17.6299992</v>
      </c>
      <c r="V544" s="22">
        <v>17.049999199999998</v>
      </c>
      <c r="W544" s="22">
        <v>17.399999600000001</v>
      </c>
      <c r="X544" s="22">
        <v>11.912239100000001</v>
      </c>
      <c r="Y544" s="22">
        <v>414700</v>
      </c>
      <c r="Z544" s="22">
        <v>1.7543429999999999E-2</v>
      </c>
    </row>
    <row r="545" spans="19:26" ht="16" x14ac:dyDescent="0.2">
      <c r="S545" s="23">
        <v>42927</v>
      </c>
      <c r="T545" s="22">
        <v>17.350000399999999</v>
      </c>
      <c r="U545" s="22">
        <v>17.350000399999999</v>
      </c>
      <c r="V545" s="22">
        <v>17</v>
      </c>
      <c r="W545" s="22">
        <v>17.149999600000001</v>
      </c>
      <c r="X545" s="22">
        <v>11.7410879</v>
      </c>
      <c r="Y545" s="22">
        <v>406700</v>
      </c>
      <c r="Z545" s="22">
        <v>-1.4367700000000001E-2</v>
      </c>
    </row>
    <row r="546" spans="19:26" ht="16" x14ac:dyDescent="0.2">
      <c r="S546" s="23">
        <v>42928</v>
      </c>
      <c r="T546" s="22">
        <v>17.450000800000002</v>
      </c>
      <c r="U546" s="22">
        <v>18</v>
      </c>
      <c r="V546" s="22">
        <v>17.200000800000002</v>
      </c>
      <c r="W546" s="22">
        <v>17.600000399999999</v>
      </c>
      <c r="X546" s="22">
        <v>12.0491648</v>
      </c>
      <c r="Y546" s="22">
        <v>1337200</v>
      </c>
      <c r="Z546" s="22">
        <v>2.6239209999999999E-2</v>
      </c>
    </row>
    <row r="547" spans="19:26" ht="16" x14ac:dyDescent="0.2">
      <c r="S547" s="23">
        <v>42929</v>
      </c>
      <c r="T547" s="22">
        <v>17.700000800000002</v>
      </c>
      <c r="U547" s="22">
        <v>18.049999199999998</v>
      </c>
      <c r="V547" s="22">
        <v>17.399999600000001</v>
      </c>
      <c r="W547" s="22">
        <v>17.450000800000002</v>
      </c>
      <c r="X547" s="22">
        <v>11.9464731</v>
      </c>
      <c r="Y547" s="22">
        <v>1061800</v>
      </c>
      <c r="Z547" s="22">
        <v>-8.5226999999999994E-3</v>
      </c>
    </row>
    <row r="548" spans="19:26" ht="16" x14ac:dyDescent="0.2">
      <c r="S548" s="23">
        <v>42930</v>
      </c>
      <c r="T548" s="22">
        <v>17.549999199999998</v>
      </c>
      <c r="U548" s="22">
        <v>18.049999199999998</v>
      </c>
      <c r="V548" s="22">
        <v>17.200000800000002</v>
      </c>
      <c r="W548" s="22">
        <v>17.899999600000001</v>
      </c>
      <c r="X548" s="22">
        <v>12.254544299999999</v>
      </c>
      <c r="Y548" s="22">
        <v>840400</v>
      </c>
      <c r="Z548" s="22">
        <v>2.5787620000000001E-2</v>
      </c>
    </row>
    <row r="549" spans="19:26" ht="16" x14ac:dyDescent="0.2">
      <c r="S549" s="23">
        <v>42933</v>
      </c>
      <c r="T549" s="22">
        <v>17.899999600000001</v>
      </c>
      <c r="U549" s="22">
        <v>18.200000800000002</v>
      </c>
      <c r="V549" s="22">
        <v>17.700000800000002</v>
      </c>
      <c r="W549" s="22">
        <v>18.149999600000001</v>
      </c>
      <c r="X549" s="22">
        <v>12.4256964</v>
      </c>
      <c r="Y549" s="22">
        <v>703800</v>
      </c>
      <c r="Z549" s="22">
        <v>1.396642E-2</v>
      </c>
    </row>
    <row r="550" spans="19:26" ht="16" x14ac:dyDescent="0.2">
      <c r="S550" s="23">
        <v>42934</v>
      </c>
      <c r="T550" s="22">
        <v>17.649999600000001</v>
      </c>
      <c r="U550" s="22">
        <v>18.350000399999999</v>
      </c>
      <c r="V550" s="22">
        <v>17.649999600000001</v>
      </c>
      <c r="W550" s="22">
        <v>18.299999199999998</v>
      </c>
      <c r="X550" s="22">
        <v>12.5283909</v>
      </c>
      <c r="Y550" s="22">
        <v>1213900</v>
      </c>
      <c r="Z550" s="22">
        <v>8.2646899999999999E-3</v>
      </c>
    </row>
    <row r="551" spans="19:26" ht="16" x14ac:dyDescent="0.2">
      <c r="S551" s="23">
        <v>42935</v>
      </c>
      <c r="T551" s="22">
        <v>17.899999600000001</v>
      </c>
      <c r="U551" s="22">
        <v>18.5</v>
      </c>
      <c r="V551" s="22">
        <v>17.899999600000001</v>
      </c>
      <c r="W551" s="22">
        <v>18.450000800000002</v>
      </c>
      <c r="X551" s="22">
        <v>12.631083500000001</v>
      </c>
      <c r="Y551" s="22">
        <v>638600</v>
      </c>
      <c r="Z551" s="22">
        <v>8.1967900000000007E-3</v>
      </c>
    </row>
    <row r="552" spans="19:26" ht="16" x14ac:dyDescent="0.2">
      <c r="S552" s="23">
        <v>42936</v>
      </c>
      <c r="T552" s="22">
        <v>18.5</v>
      </c>
      <c r="U552" s="22">
        <v>18.700000800000002</v>
      </c>
      <c r="V552" s="22">
        <v>18.399999600000001</v>
      </c>
      <c r="W552" s="22">
        <v>18.5</v>
      </c>
      <c r="X552" s="22">
        <v>12.6653147</v>
      </c>
      <c r="Y552" s="22">
        <v>409100</v>
      </c>
      <c r="Z552" s="22">
        <v>2.7100800000000001E-3</v>
      </c>
    </row>
    <row r="553" spans="19:26" ht="16" x14ac:dyDescent="0.2">
      <c r="S553" s="23">
        <v>42937</v>
      </c>
      <c r="T553" s="22">
        <v>18.549999199999998</v>
      </c>
      <c r="U553" s="22">
        <v>18.649999600000001</v>
      </c>
      <c r="V553" s="22">
        <v>18.299999199999998</v>
      </c>
      <c r="W553" s="22">
        <v>18.450000800000002</v>
      </c>
      <c r="X553" s="22">
        <v>12.631083500000001</v>
      </c>
      <c r="Y553" s="22">
        <v>1096400</v>
      </c>
      <c r="Z553" s="22">
        <v>-2.7028E-3</v>
      </c>
    </row>
    <row r="554" spans="19:26" ht="16" x14ac:dyDescent="0.2">
      <c r="S554" s="23">
        <v>42940</v>
      </c>
      <c r="T554" s="22">
        <v>18.450000800000002</v>
      </c>
      <c r="U554" s="22">
        <v>18.75</v>
      </c>
      <c r="V554" s="22">
        <v>18.25</v>
      </c>
      <c r="W554" s="22">
        <v>18.600000399999999</v>
      </c>
      <c r="X554" s="22">
        <v>12.733774199999999</v>
      </c>
      <c r="Y554" s="22">
        <v>803100</v>
      </c>
      <c r="Z554" s="22">
        <v>8.1300000000000001E-3</v>
      </c>
    </row>
    <row r="555" spans="19:26" ht="16" x14ac:dyDescent="0.2">
      <c r="S555" s="23">
        <v>42941</v>
      </c>
      <c r="T555" s="22">
        <v>18.600000399999999</v>
      </c>
      <c r="U555" s="22">
        <v>18.6800003</v>
      </c>
      <c r="V555" s="22">
        <v>18.350000399999999</v>
      </c>
      <c r="W555" s="22">
        <v>18.399999600000001</v>
      </c>
      <c r="X555" s="22">
        <v>12.5968523</v>
      </c>
      <c r="Y555" s="22">
        <v>565300</v>
      </c>
      <c r="Z555" s="22">
        <v>-1.07527E-2</v>
      </c>
    </row>
    <row r="556" spans="19:26" ht="16" x14ac:dyDescent="0.2">
      <c r="S556" s="23">
        <v>42942</v>
      </c>
      <c r="T556" s="22">
        <v>18.399999600000001</v>
      </c>
      <c r="U556" s="22">
        <v>18.649999600000001</v>
      </c>
      <c r="V556" s="22">
        <v>18.329999900000001</v>
      </c>
      <c r="W556" s="22">
        <v>18.450000800000002</v>
      </c>
      <c r="X556" s="22">
        <v>12.631083500000001</v>
      </c>
      <c r="Y556" s="22">
        <v>751300</v>
      </c>
      <c r="Z556" s="22">
        <v>2.7174399999999998E-3</v>
      </c>
    </row>
    <row r="557" spans="19:26" ht="16" x14ac:dyDescent="0.2">
      <c r="S557" s="23">
        <v>42943</v>
      </c>
      <c r="T557" s="22">
        <v>18.5</v>
      </c>
      <c r="U557" s="22">
        <v>18.75</v>
      </c>
      <c r="V557" s="22">
        <v>18.399999600000001</v>
      </c>
      <c r="W557" s="22">
        <v>18.600000399999999</v>
      </c>
      <c r="X557" s="22">
        <v>12.733774199999999</v>
      </c>
      <c r="Y557" s="22">
        <v>838200</v>
      </c>
      <c r="Z557" s="22">
        <v>8.1300000000000001E-3</v>
      </c>
    </row>
    <row r="558" spans="19:26" ht="16" x14ac:dyDescent="0.2">
      <c r="S558" s="23">
        <v>42944</v>
      </c>
      <c r="T558" s="22">
        <v>18.600000399999999</v>
      </c>
      <c r="U558" s="22">
        <v>18.6299992</v>
      </c>
      <c r="V558" s="22">
        <v>18.450000800000002</v>
      </c>
      <c r="W558" s="22">
        <v>18.549999199999998</v>
      </c>
      <c r="X558" s="22">
        <v>12.699547799999999</v>
      </c>
      <c r="Y558" s="22">
        <v>215500</v>
      </c>
      <c r="Z558" s="22">
        <v>-2.6878000000000002E-3</v>
      </c>
    </row>
    <row r="559" spans="19:26" ht="16" x14ac:dyDescent="0.2">
      <c r="S559" s="23">
        <v>42947</v>
      </c>
      <c r="T559" s="22">
        <v>18.549999199999998</v>
      </c>
      <c r="U559" s="22">
        <v>18.75</v>
      </c>
      <c r="V559" s="22">
        <v>18.200000800000002</v>
      </c>
      <c r="W559" s="22">
        <v>18.600000399999999</v>
      </c>
      <c r="X559" s="22">
        <v>12.733774199999999</v>
      </c>
      <c r="Y559" s="22">
        <v>596200</v>
      </c>
      <c r="Z559" s="22">
        <v>2.6950899999999998E-3</v>
      </c>
    </row>
    <row r="560" spans="19:26" ht="16" x14ac:dyDescent="0.2">
      <c r="S560" s="23">
        <v>42948</v>
      </c>
      <c r="T560" s="22">
        <v>18.649999600000001</v>
      </c>
      <c r="U560" s="22">
        <v>18.7399998</v>
      </c>
      <c r="V560" s="22">
        <v>18.399999600000001</v>
      </c>
      <c r="W560" s="22">
        <v>18.549999199999998</v>
      </c>
      <c r="X560" s="22">
        <v>12.699547799999999</v>
      </c>
      <c r="Y560" s="22">
        <v>380800</v>
      </c>
      <c r="Z560" s="22">
        <v>-2.6878000000000002E-3</v>
      </c>
    </row>
    <row r="561" spans="19:26" ht="16" x14ac:dyDescent="0.2">
      <c r="S561" s="23">
        <v>42949</v>
      </c>
      <c r="T561" s="22">
        <v>18.549999199999998</v>
      </c>
      <c r="U561" s="22">
        <v>18.549999199999998</v>
      </c>
      <c r="V561" s="22">
        <v>18.149999600000001</v>
      </c>
      <c r="W561" s="22">
        <v>18.25</v>
      </c>
      <c r="X561" s="22">
        <v>12.4941616</v>
      </c>
      <c r="Y561" s="22">
        <v>403100</v>
      </c>
      <c r="Z561" s="22">
        <v>-1.6172700000000002E-2</v>
      </c>
    </row>
    <row r="562" spans="19:26" ht="16" x14ac:dyDescent="0.2">
      <c r="S562" s="23">
        <v>42950</v>
      </c>
      <c r="T562" s="22">
        <v>18.399999600000001</v>
      </c>
      <c r="U562" s="22">
        <v>18.75</v>
      </c>
      <c r="V562" s="22">
        <v>18.049999199999998</v>
      </c>
      <c r="W562" s="22">
        <v>18.399999600000001</v>
      </c>
      <c r="X562" s="22">
        <v>12.5968523</v>
      </c>
      <c r="Y562" s="22">
        <v>354600</v>
      </c>
      <c r="Z562" s="22">
        <v>8.2190900000000001E-3</v>
      </c>
    </row>
    <row r="563" spans="19:26" ht="16" x14ac:dyDescent="0.2">
      <c r="S563" s="23">
        <v>42951</v>
      </c>
      <c r="T563" s="22">
        <v>18.5</v>
      </c>
      <c r="U563" s="22">
        <v>19.049999199999998</v>
      </c>
      <c r="V563" s="22">
        <v>18.350000399999999</v>
      </c>
      <c r="W563" s="22">
        <v>18.899999600000001</v>
      </c>
      <c r="X563" s="22">
        <v>12.939159399999999</v>
      </c>
      <c r="Y563" s="22">
        <v>1009400</v>
      </c>
      <c r="Z563" s="22">
        <v>2.717402E-2</v>
      </c>
    </row>
    <row r="564" spans="19:26" ht="16" x14ac:dyDescent="0.2">
      <c r="S564" s="23">
        <v>42954</v>
      </c>
      <c r="T564" s="22">
        <v>18.899999600000001</v>
      </c>
      <c r="U564" s="22">
        <v>18.950000800000002</v>
      </c>
      <c r="V564" s="22">
        <v>18.4300003</v>
      </c>
      <c r="W564" s="22">
        <v>18.450000800000002</v>
      </c>
      <c r="X564" s="22">
        <v>12.631083500000001</v>
      </c>
      <c r="Y564" s="22">
        <v>439100</v>
      </c>
      <c r="Z564" s="22">
        <v>-2.38096E-2</v>
      </c>
    </row>
    <row r="565" spans="19:26" ht="16" x14ac:dyDescent="0.2">
      <c r="S565" s="23">
        <v>42955</v>
      </c>
      <c r="T565" s="22">
        <v>18.450000800000002</v>
      </c>
      <c r="U565" s="22">
        <v>18.600000399999999</v>
      </c>
      <c r="V565" s="22">
        <v>18.1299992</v>
      </c>
      <c r="W565" s="22">
        <v>18.350000399999999</v>
      </c>
      <c r="X565" s="22">
        <v>12.5626259</v>
      </c>
      <c r="Y565" s="22">
        <v>603700</v>
      </c>
      <c r="Z565" s="22">
        <v>-5.4197999999999998E-3</v>
      </c>
    </row>
    <row r="566" spans="19:26" ht="16" x14ac:dyDescent="0.2">
      <c r="S566" s="23">
        <v>42956</v>
      </c>
      <c r="T566" s="22">
        <v>18.25</v>
      </c>
      <c r="U566" s="22">
        <v>18.399999600000001</v>
      </c>
      <c r="V566" s="22">
        <v>18.149999600000001</v>
      </c>
      <c r="W566" s="22">
        <v>18.299999199999998</v>
      </c>
      <c r="X566" s="22">
        <v>12.5283909</v>
      </c>
      <c r="Y566" s="22">
        <v>323800</v>
      </c>
      <c r="Z566" s="22">
        <v>-2.7250999999999998E-3</v>
      </c>
    </row>
    <row r="567" spans="19:26" ht="16" x14ac:dyDescent="0.2">
      <c r="S567" s="23">
        <v>42957</v>
      </c>
      <c r="T567" s="22">
        <v>18.100000399999999</v>
      </c>
      <c r="U567" s="22">
        <v>18.549999199999998</v>
      </c>
      <c r="V567" s="22">
        <v>18.100000399999999</v>
      </c>
      <c r="W567" s="22">
        <v>18.549999199999998</v>
      </c>
      <c r="X567" s="22">
        <v>12.699547799999999</v>
      </c>
      <c r="Y567" s="22">
        <v>598800</v>
      </c>
      <c r="Z567" s="22">
        <v>1.366152E-2</v>
      </c>
    </row>
    <row r="568" spans="19:26" ht="16" x14ac:dyDescent="0.2">
      <c r="S568" s="23">
        <v>42958</v>
      </c>
      <c r="T568" s="22">
        <v>18.350000399999999</v>
      </c>
      <c r="U568" s="22">
        <v>18.700000800000002</v>
      </c>
      <c r="V568" s="22">
        <v>18.200000800000002</v>
      </c>
      <c r="W568" s="22">
        <v>18.549999199999998</v>
      </c>
      <c r="X568" s="22">
        <v>12.699547799999999</v>
      </c>
      <c r="Y568" s="22">
        <v>1627400</v>
      </c>
      <c r="Z568" s="22">
        <v>0</v>
      </c>
    </row>
    <row r="569" spans="19:26" ht="16" x14ac:dyDescent="0.2">
      <c r="S569" s="23">
        <v>42961</v>
      </c>
      <c r="T569" s="22">
        <v>18.600000399999999</v>
      </c>
      <c r="U569" s="22">
        <v>18.850000399999999</v>
      </c>
      <c r="V569" s="22">
        <v>18.5</v>
      </c>
      <c r="W569" s="22">
        <v>18.799999199999998</v>
      </c>
      <c r="X569" s="22">
        <v>12.870697</v>
      </c>
      <c r="Y569" s="22">
        <v>556900</v>
      </c>
      <c r="Z569" s="22">
        <v>1.3476800000000001E-2</v>
      </c>
    </row>
    <row r="570" spans="19:26" ht="16" x14ac:dyDescent="0.2">
      <c r="S570" s="23">
        <v>42962</v>
      </c>
      <c r="T570" s="22">
        <v>18.700000800000002</v>
      </c>
      <c r="U570" s="22">
        <v>18.850000399999999</v>
      </c>
      <c r="V570" s="22">
        <v>18.450000800000002</v>
      </c>
      <c r="W570" s="22">
        <v>18.850000399999999</v>
      </c>
      <c r="X570" s="22">
        <v>12.9049263</v>
      </c>
      <c r="Y570" s="22">
        <v>452500</v>
      </c>
      <c r="Z570" s="22">
        <v>2.6594700000000001E-3</v>
      </c>
    </row>
    <row r="571" spans="19:26" ht="16" x14ac:dyDescent="0.2">
      <c r="S571" s="23">
        <v>42963</v>
      </c>
      <c r="T571" s="22">
        <v>18.850000399999999</v>
      </c>
      <c r="U571" s="22">
        <v>18.850000399999999</v>
      </c>
      <c r="V571" s="22">
        <v>18.6299992</v>
      </c>
      <c r="W571" s="22">
        <v>18.799999199999998</v>
      </c>
      <c r="X571" s="22">
        <v>12.870697</v>
      </c>
      <c r="Y571" s="22">
        <v>380200</v>
      </c>
      <c r="Z571" s="22">
        <v>-2.6524000000000001E-3</v>
      </c>
    </row>
    <row r="572" spans="19:26" ht="16" x14ac:dyDescent="0.2">
      <c r="S572" s="23">
        <v>42964</v>
      </c>
      <c r="T572" s="22">
        <v>18.75</v>
      </c>
      <c r="U572" s="22">
        <v>18.850000399999999</v>
      </c>
      <c r="V572" s="22">
        <v>18.100000399999999</v>
      </c>
      <c r="W572" s="22">
        <v>18.100000399999999</v>
      </c>
      <c r="X572" s="22">
        <v>12.391468</v>
      </c>
      <c r="Y572" s="22">
        <v>416400</v>
      </c>
      <c r="Z572" s="22">
        <v>-3.7234099999999999E-2</v>
      </c>
    </row>
    <row r="573" spans="19:26" ht="16" x14ac:dyDescent="0.2">
      <c r="S573" s="23">
        <v>42965</v>
      </c>
      <c r="T573" s="22">
        <v>18.049999199999998</v>
      </c>
      <c r="U573" s="22">
        <v>18.450000800000002</v>
      </c>
      <c r="V573" s="22">
        <v>18.049999199999998</v>
      </c>
      <c r="W573" s="22">
        <v>18.399999600000001</v>
      </c>
      <c r="X573" s="22">
        <v>12.5968523</v>
      </c>
      <c r="Y573" s="22">
        <v>423300</v>
      </c>
      <c r="Z573" s="22">
        <v>1.657465E-2</v>
      </c>
    </row>
    <row r="574" spans="19:26" ht="16" x14ac:dyDescent="0.2">
      <c r="S574" s="23">
        <v>42968</v>
      </c>
      <c r="T574" s="22">
        <v>18.450000800000002</v>
      </c>
      <c r="U574" s="22">
        <v>18.6800003</v>
      </c>
      <c r="V574" s="22">
        <v>18.350000399999999</v>
      </c>
      <c r="W574" s="22">
        <v>18.600000399999999</v>
      </c>
      <c r="X574" s="22">
        <v>12.733774199999999</v>
      </c>
      <c r="Y574" s="22">
        <v>213900</v>
      </c>
      <c r="Z574" s="22">
        <v>1.0869530000000001E-2</v>
      </c>
    </row>
    <row r="575" spans="19:26" ht="16" x14ac:dyDescent="0.2">
      <c r="S575" s="23">
        <v>42969</v>
      </c>
      <c r="T575" s="22">
        <v>18.649999600000001</v>
      </c>
      <c r="U575" s="22">
        <v>19.020000499999998</v>
      </c>
      <c r="V575" s="22">
        <v>18.520000499999998</v>
      </c>
      <c r="W575" s="22">
        <v>18.899999600000001</v>
      </c>
      <c r="X575" s="22">
        <v>12.939159399999999</v>
      </c>
      <c r="Y575" s="22">
        <v>491500</v>
      </c>
      <c r="Z575" s="22">
        <v>1.6129170000000002E-2</v>
      </c>
    </row>
    <row r="576" spans="19:26" ht="16" x14ac:dyDescent="0.2">
      <c r="S576" s="23">
        <v>42970</v>
      </c>
      <c r="T576" s="22">
        <v>18.850000399999999</v>
      </c>
      <c r="U576" s="22">
        <v>19.100000399999999</v>
      </c>
      <c r="V576" s="22">
        <v>18.700000800000002</v>
      </c>
      <c r="W576" s="22">
        <v>18.950000800000002</v>
      </c>
      <c r="X576" s="22">
        <v>12.9733877</v>
      </c>
      <c r="Y576" s="22">
        <v>467700</v>
      </c>
      <c r="Z576" s="22">
        <v>2.64533E-3</v>
      </c>
    </row>
    <row r="577" spans="19:26" ht="16" x14ac:dyDescent="0.2">
      <c r="S577" s="23">
        <v>42971</v>
      </c>
      <c r="T577" s="22">
        <v>18.950000800000002</v>
      </c>
      <c r="U577" s="22">
        <v>18.950000800000002</v>
      </c>
      <c r="V577" s="22">
        <v>18.6800003</v>
      </c>
      <c r="W577" s="22">
        <v>18.899999600000001</v>
      </c>
      <c r="X577" s="22">
        <v>12.939159399999999</v>
      </c>
      <c r="Y577" s="22">
        <v>222100</v>
      </c>
      <c r="Z577" s="22">
        <v>-2.6383000000000001E-3</v>
      </c>
    </row>
    <row r="578" spans="19:26" ht="16" x14ac:dyDescent="0.2">
      <c r="S578" s="23">
        <v>42972</v>
      </c>
      <c r="T578" s="22">
        <v>18.899999600000001</v>
      </c>
      <c r="U578" s="22">
        <v>19.049999199999998</v>
      </c>
      <c r="V578" s="22">
        <v>18.75</v>
      </c>
      <c r="W578" s="22">
        <v>18.850000399999999</v>
      </c>
      <c r="X578" s="22">
        <v>12.9049263</v>
      </c>
      <c r="Y578" s="22">
        <v>260200</v>
      </c>
      <c r="Z578" s="22">
        <v>-2.6457E-3</v>
      </c>
    </row>
    <row r="579" spans="19:26" ht="16" x14ac:dyDescent="0.2">
      <c r="S579" s="23">
        <v>42975</v>
      </c>
      <c r="T579" s="22">
        <v>18.850000399999999</v>
      </c>
      <c r="U579" s="22">
        <v>18.950000800000002</v>
      </c>
      <c r="V579" s="22">
        <v>18.5</v>
      </c>
      <c r="W579" s="22">
        <v>18.600000399999999</v>
      </c>
      <c r="X579" s="22">
        <v>12.733774199999999</v>
      </c>
      <c r="Y579" s="22">
        <v>361800</v>
      </c>
      <c r="Z579" s="22">
        <v>-1.32625E-2</v>
      </c>
    </row>
    <row r="580" spans="19:26" ht="16" x14ac:dyDescent="0.2">
      <c r="S580" s="23">
        <v>42976</v>
      </c>
      <c r="T580" s="22">
        <v>18.600000399999999</v>
      </c>
      <c r="U580" s="22">
        <v>18.729999500000002</v>
      </c>
      <c r="V580" s="22">
        <v>18.450000800000002</v>
      </c>
      <c r="W580" s="22">
        <v>18.649999600000001</v>
      </c>
      <c r="X580" s="22">
        <v>12.7680016</v>
      </c>
      <c r="Y580" s="22">
        <v>268100</v>
      </c>
      <c r="Z580" s="22">
        <v>2.6879199999999999E-3</v>
      </c>
    </row>
    <row r="581" spans="19:26" ht="16" x14ac:dyDescent="0.2">
      <c r="S581" s="23">
        <v>42977</v>
      </c>
      <c r="T581" s="22">
        <v>18.299999199999998</v>
      </c>
      <c r="U581" s="22">
        <v>18.450000800000002</v>
      </c>
      <c r="V581" s="22">
        <v>18.149999600000001</v>
      </c>
      <c r="W581" s="22">
        <v>18.25</v>
      </c>
      <c r="X581" s="22">
        <v>12.6846008</v>
      </c>
      <c r="Y581" s="22">
        <v>630000</v>
      </c>
      <c r="Z581" s="22">
        <v>-6.5319999999999996E-3</v>
      </c>
    </row>
    <row r="582" spans="19:26" ht="16" x14ac:dyDescent="0.2">
      <c r="S582" s="23">
        <v>42978</v>
      </c>
      <c r="T582" s="22">
        <v>18.350000399999999</v>
      </c>
      <c r="U582" s="22">
        <v>18.600000399999999</v>
      </c>
      <c r="V582" s="22">
        <v>18.350000399999999</v>
      </c>
      <c r="W582" s="22">
        <v>18.5</v>
      </c>
      <c r="X582" s="22">
        <v>12.858360299999999</v>
      </c>
      <c r="Y582" s="22">
        <v>625800</v>
      </c>
      <c r="Z582" s="22">
        <v>1.3698460000000001E-2</v>
      </c>
    </row>
    <row r="583" spans="19:26" ht="16" x14ac:dyDescent="0.2">
      <c r="S583" s="23">
        <v>42979</v>
      </c>
      <c r="T583" s="22">
        <v>18.5</v>
      </c>
      <c r="U583" s="22">
        <v>18.799999199999998</v>
      </c>
      <c r="V583" s="22">
        <v>18.450000800000002</v>
      </c>
      <c r="W583" s="22">
        <v>18.700000800000002</v>
      </c>
      <c r="X583" s="22">
        <v>12.9973698</v>
      </c>
      <c r="Y583" s="22">
        <v>356300</v>
      </c>
      <c r="Z583" s="22">
        <v>1.081082E-2</v>
      </c>
    </row>
    <row r="584" spans="19:26" ht="16" x14ac:dyDescent="0.2">
      <c r="S584" s="23">
        <v>42983</v>
      </c>
      <c r="T584" s="22">
        <v>18.700000800000002</v>
      </c>
      <c r="U584" s="22">
        <v>18.850000399999999</v>
      </c>
      <c r="V584" s="22">
        <v>18.600000399999999</v>
      </c>
      <c r="W584" s="22">
        <v>18.700000800000002</v>
      </c>
      <c r="X584" s="22">
        <v>12.9973698</v>
      </c>
      <c r="Y584" s="22">
        <v>421900</v>
      </c>
      <c r="Z584" s="22">
        <v>0</v>
      </c>
    </row>
    <row r="585" spans="19:26" ht="16" x14ac:dyDescent="0.2">
      <c r="S585" s="23">
        <v>42984</v>
      </c>
      <c r="T585" s="22">
        <v>18.75</v>
      </c>
      <c r="U585" s="22">
        <v>18.899999600000001</v>
      </c>
      <c r="V585" s="22">
        <v>18.399999600000001</v>
      </c>
      <c r="W585" s="22">
        <v>18.399999600000001</v>
      </c>
      <c r="X585" s="22">
        <v>12.7888565</v>
      </c>
      <c r="Y585" s="22">
        <v>419500</v>
      </c>
      <c r="Z585" s="22">
        <v>-1.60427E-2</v>
      </c>
    </row>
    <row r="586" spans="19:26" ht="16" x14ac:dyDescent="0.2">
      <c r="S586" s="23">
        <v>42985</v>
      </c>
      <c r="T586" s="22">
        <v>18.399999600000001</v>
      </c>
      <c r="U586" s="22">
        <v>18.5</v>
      </c>
      <c r="V586" s="22">
        <v>18</v>
      </c>
      <c r="W586" s="22">
        <v>18.100000399999999</v>
      </c>
      <c r="X586" s="22">
        <v>12.5803423</v>
      </c>
      <c r="Y586" s="22">
        <v>649700</v>
      </c>
      <c r="Z586" s="22">
        <v>-1.63044E-2</v>
      </c>
    </row>
    <row r="587" spans="19:26" ht="16" x14ac:dyDescent="0.2">
      <c r="S587" s="23">
        <v>42986</v>
      </c>
      <c r="T587" s="22">
        <v>18.100000399999999</v>
      </c>
      <c r="U587" s="22">
        <v>18.399999600000001</v>
      </c>
      <c r="V587" s="22">
        <v>17.9300003</v>
      </c>
      <c r="W587" s="22">
        <v>18.399999600000001</v>
      </c>
      <c r="X587" s="22">
        <v>12.7888565</v>
      </c>
      <c r="Y587" s="22">
        <v>344200</v>
      </c>
      <c r="Z587" s="22">
        <v>1.657461E-2</v>
      </c>
    </row>
    <row r="588" spans="19:26" ht="16" x14ac:dyDescent="0.2">
      <c r="S588" s="23">
        <v>42989</v>
      </c>
      <c r="T588" s="22">
        <v>18.450000800000002</v>
      </c>
      <c r="U588" s="22">
        <v>18.75</v>
      </c>
      <c r="V588" s="22">
        <v>18.450000800000002</v>
      </c>
      <c r="W588" s="22">
        <v>18.600000399999999</v>
      </c>
      <c r="X588" s="22">
        <v>12.927866</v>
      </c>
      <c r="Y588" s="22">
        <v>206400</v>
      </c>
      <c r="Z588" s="22">
        <v>1.086958E-2</v>
      </c>
    </row>
    <row r="589" spans="19:26" ht="16" x14ac:dyDescent="0.2">
      <c r="S589" s="23">
        <v>42990</v>
      </c>
      <c r="T589" s="22">
        <v>18.600000399999999</v>
      </c>
      <c r="U589" s="22">
        <v>18.659999800000001</v>
      </c>
      <c r="V589" s="22">
        <v>18.399999600000001</v>
      </c>
      <c r="W589" s="22">
        <v>18.450000800000002</v>
      </c>
      <c r="X589" s="22">
        <v>12.8236103</v>
      </c>
      <c r="Y589" s="22">
        <v>323300</v>
      </c>
      <c r="Z589" s="22">
        <v>-8.0643999999999993E-3</v>
      </c>
    </row>
    <row r="590" spans="19:26" ht="16" x14ac:dyDescent="0.2">
      <c r="S590" s="23">
        <v>42991</v>
      </c>
      <c r="T590" s="22">
        <v>18.450000800000002</v>
      </c>
      <c r="U590" s="22">
        <v>18.700000800000002</v>
      </c>
      <c r="V590" s="22">
        <v>18.399999600000001</v>
      </c>
      <c r="W590" s="22">
        <v>18.5</v>
      </c>
      <c r="X590" s="22">
        <v>12.858360299999999</v>
      </c>
      <c r="Y590" s="22">
        <v>416500</v>
      </c>
      <c r="Z590" s="22">
        <v>2.7098399999999998E-3</v>
      </c>
    </row>
    <row r="591" spans="19:26" ht="16" x14ac:dyDescent="0.2">
      <c r="S591" s="23">
        <v>42992</v>
      </c>
      <c r="T591" s="22">
        <v>18.450000800000002</v>
      </c>
      <c r="U591" s="22">
        <v>18.799999199999998</v>
      </c>
      <c r="V591" s="22">
        <v>18.299999199999998</v>
      </c>
      <c r="W591" s="22">
        <v>18.75</v>
      </c>
      <c r="X591" s="22">
        <v>13.0321236</v>
      </c>
      <c r="Y591" s="22">
        <v>420500</v>
      </c>
      <c r="Z591" s="22">
        <v>1.351364E-2</v>
      </c>
    </row>
    <row r="592" spans="19:26" ht="16" x14ac:dyDescent="0.2">
      <c r="S592" s="23">
        <v>42993</v>
      </c>
      <c r="T592" s="22">
        <v>18.799999199999998</v>
      </c>
      <c r="U592" s="22">
        <v>19</v>
      </c>
      <c r="V592" s="22">
        <v>18.700000800000002</v>
      </c>
      <c r="W592" s="22">
        <v>18.950000800000002</v>
      </c>
      <c r="X592" s="22">
        <v>13.1711302</v>
      </c>
      <c r="Y592" s="22">
        <v>838800</v>
      </c>
      <c r="Z592" s="22">
        <v>1.0666459999999999E-2</v>
      </c>
    </row>
    <row r="593" spans="19:26" ht="16" x14ac:dyDescent="0.2">
      <c r="S593" s="23">
        <v>42996</v>
      </c>
      <c r="T593" s="22">
        <v>19</v>
      </c>
      <c r="U593" s="22">
        <v>19.049999199999998</v>
      </c>
      <c r="V593" s="22">
        <v>18.649999600000001</v>
      </c>
      <c r="W593" s="22">
        <v>18.75</v>
      </c>
      <c r="X593" s="22">
        <v>13.0321236</v>
      </c>
      <c r="Y593" s="22">
        <v>617900</v>
      </c>
      <c r="Z593" s="22">
        <v>-1.05539E-2</v>
      </c>
    </row>
    <row r="594" spans="19:26" ht="16" x14ac:dyDescent="0.2">
      <c r="S594" s="23">
        <v>42997</v>
      </c>
      <c r="T594" s="22">
        <v>18.799999199999998</v>
      </c>
      <c r="U594" s="22">
        <v>18.950000800000002</v>
      </c>
      <c r="V594" s="22">
        <v>18.649999600000001</v>
      </c>
      <c r="W594" s="22">
        <v>18.799999199999998</v>
      </c>
      <c r="X594" s="22">
        <v>13.066873599999999</v>
      </c>
      <c r="Y594" s="22">
        <v>556000</v>
      </c>
      <c r="Z594" s="22">
        <v>2.6664900000000001E-3</v>
      </c>
    </row>
    <row r="595" spans="19:26" ht="16" x14ac:dyDescent="0.2">
      <c r="S595" s="23">
        <v>42998</v>
      </c>
      <c r="T595" s="22">
        <v>18.799999199999998</v>
      </c>
      <c r="U595" s="22">
        <v>19.200000800000002</v>
      </c>
      <c r="V595" s="22">
        <v>18.790000899999999</v>
      </c>
      <c r="W595" s="22">
        <v>19</v>
      </c>
      <c r="X595" s="22">
        <v>13.205883999999999</v>
      </c>
      <c r="Y595" s="22">
        <v>851300</v>
      </c>
      <c r="Z595" s="22">
        <v>1.0638379999999999E-2</v>
      </c>
    </row>
    <row r="596" spans="19:26" ht="16" x14ac:dyDescent="0.2">
      <c r="S596" s="23">
        <v>42999</v>
      </c>
      <c r="T596" s="22">
        <v>19</v>
      </c>
      <c r="U596" s="22">
        <v>19.200000800000002</v>
      </c>
      <c r="V596" s="22">
        <v>18.9400005</v>
      </c>
      <c r="W596" s="22">
        <v>19.149999600000001</v>
      </c>
      <c r="X596" s="22">
        <v>13.3101425</v>
      </c>
      <c r="Y596" s="22">
        <v>496000</v>
      </c>
      <c r="Z596" s="22">
        <v>7.8948500000000001E-3</v>
      </c>
    </row>
    <row r="597" spans="19:26" ht="16" x14ac:dyDescent="0.2">
      <c r="S597" s="23">
        <v>43000</v>
      </c>
      <c r="T597" s="22">
        <v>19.149999600000001</v>
      </c>
      <c r="U597" s="22">
        <v>20</v>
      </c>
      <c r="V597" s="22">
        <v>19.049999199999998</v>
      </c>
      <c r="W597" s="22">
        <v>19.399999600000001</v>
      </c>
      <c r="X597" s="22">
        <v>13.483900999999999</v>
      </c>
      <c r="Y597" s="22">
        <v>2772400</v>
      </c>
      <c r="Z597" s="22">
        <v>1.305459E-2</v>
      </c>
    </row>
    <row r="598" spans="19:26" ht="16" x14ac:dyDescent="0.2">
      <c r="S598" s="23">
        <v>43003</v>
      </c>
      <c r="T598" s="22">
        <v>19.450000800000002</v>
      </c>
      <c r="U598" s="22">
        <v>19.850000399999999</v>
      </c>
      <c r="V598" s="22">
        <v>19.270000499999998</v>
      </c>
      <c r="W598" s="22">
        <v>19.600000399999999</v>
      </c>
      <c r="X598" s="22">
        <v>13.6229095</v>
      </c>
      <c r="Y598" s="22">
        <v>977000</v>
      </c>
      <c r="Z598" s="22">
        <v>1.0309219999999999E-2</v>
      </c>
    </row>
    <row r="599" spans="19:26" ht="16" x14ac:dyDescent="0.2">
      <c r="S599" s="23">
        <v>43004</v>
      </c>
      <c r="T599" s="22">
        <v>19.5</v>
      </c>
      <c r="U599" s="22">
        <v>19.799999199999998</v>
      </c>
      <c r="V599" s="22">
        <v>19.399999600000001</v>
      </c>
      <c r="W599" s="22">
        <v>19.600000399999999</v>
      </c>
      <c r="X599" s="22">
        <v>13.6229095</v>
      </c>
      <c r="Y599" s="22">
        <v>2706900</v>
      </c>
      <c r="Z599" s="22">
        <v>0</v>
      </c>
    </row>
    <row r="600" spans="19:26" ht="16" x14ac:dyDescent="0.2">
      <c r="S600" s="23">
        <v>43005</v>
      </c>
      <c r="T600" s="22">
        <v>19.600000399999999</v>
      </c>
      <c r="U600" s="22">
        <v>19.600000399999999</v>
      </c>
      <c r="V600" s="22">
        <v>19.200000800000002</v>
      </c>
      <c r="W600" s="22">
        <v>19.549999199999998</v>
      </c>
      <c r="X600" s="22">
        <v>13.588159599999999</v>
      </c>
      <c r="Y600" s="22">
        <v>1643700</v>
      </c>
      <c r="Z600" s="22">
        <v>-2.5508000000000002E-3</v>
      </c>
    </row>
    <row r="601" spans="19:26" ht="16" x14ac:dyDescent="0.2">
      <c r="S601" s="23">
        <v>43006</v>
      </c>
      <c r="T601" s="22">
        <v>19.549999199999998</v>
      </c>
      <c r="U601" s="22">
        <v>19.700000800000002</v>
      </c>
      <c r="V601" s="22">
        <v>19.270000499999998</v>
      </c>
      <c r="W601" s="22">
        <v>19.600000399999999</v>
      </c>
      <c r="X601" s="22">
        <v>13.6229095</v>
      </c>
      <c r="Y601" s="22">
        <v>701500</v>
      </c>
      <c r="Z601" s="22">
        <v>2.5573700000000002E-3</v>
      </c>
    </row>
    <row r="602" spans="19:26" ht="16" x14ac:dyDescent="0.2">
      <c r="S602" s="23">
        <v>43007</v>
      </c>
      <c r="T602" s="22">
        <v>19.649999600000001</v>
      </c>
      <c r="U602" s="22">
        <v>19.75</v>
      </c>
      <c r="V602" s="22">
        <v>19.25</v>
      </c>
      <c r="W602" s="22">
        <v>19.299999199999998</v>
      </c>
      <c r="X602" s="22">
        <v>13.4144001</v>
      </c>
      <c r="Y602" s="22">
        <v>859200</v>
      </c>
      <c r="Z602" s="22">
        <v>-1.53058E-2</v>
      </c>
    </row>
    <row r="603" spans="19:26" ht="16" x14ac:dyDescent="0.2">
      <c r="S603" s="23">
        <v>43010</v>
      </c>
      <c r="T603" s="22">
        <v>19.299999199999998</v>
      </c>
      <c r="U603" s="22">
        <v>19.3199997</v>
      </c>
      <c r="V603" s="22">
        <v>18.579999900000001</v>
      </c>
      <c r="W603" s="22">
        <v>18.950000800000002</v>
      </c>
      <c r="X603" s="22">
        <v>13.1711302</v>
      </c>
      <c r="Y603" s="22">
        <v>1103500</v>
      </c>
      <c r="Z603" s="22">
        <v>-1.8134999999999998E-2</v>
      </c>
    </row>
    <row r="604" spans="19:26" ht="16" x14ac:dyDescent="0.2">
      <c r="S604" s="23">
        <v>43011</v>
      </c>
      <c r="T604" s="22">
        <v>19.049999199999998</v>
      </c>
      <c r="U604" s="22">
        <v>19.100000399999999</v>
      </c>
      <c r="V604" s="22">
        <v>18.649999600000001</v>
      </c>
      <c r="W604" s="22">
        <v>18.950000800000002</v>
      </c>
      <c r="X604" s="22">
        <v>13.1711302</v>
      </c>
      <c r="Y604" s="22">
        <v>741200</v>
      </c>
      <c r="Z604" s="22">
        <v>0</v>
      </c>
    </row>
    <row r="605" spans="19:26" ht="16" x14ac:dyDescent="0.2">
      <c r="S605" s="23">
        <v>43012</v>
      </c>
      <c r="T605" s="22">
        <v>18.899999600000001</v>
      </c>
      <c r="U605" s="22">
        <v>19</v>
      </c>
      <c r="V605" s="22">
        <v>18.549999199999998</v>
      </c>
      <c r="W605" s="22">
        <v>18.549999199999998</v>
      </c>
      <c r="X605" s="22">
        <v>12.893115999999999</v>
      </c>
      <c r="Y605" s="22">
        <v>564200</v>
      </c>
      <c r="Z605" s="22">
        <v>-2.1107799999999999E-2</v>
      </c>
    </row>
    <row r="606" spans="19:26" ht="16" x14ac:dyDescent="0.2">
      <c r="S606" s="23">
        <v>43013</v>
      </c>
      <c r="T606" s="22">
        <v>18.649999600000001</v>
      </c>
      <c r="U606" s="22">
        <v>18.850000399999999</v>
      </c>
      <c r="V606" s="22">
        <v>18.5</v>
      </c>
      <c r="W606" s="22">
        <v>18.799999199999998</v>
      </c>
      <c r="X606" s="22">
        <v>13.066873599999999</v>
      </c>
      <c r="Y606" s="22">
        <v>638800</v>
      </c>
      <c r="Z606" s="22">
        <v>1.3476770000000001E-2</v>
      </c>
    </row>
    <row r="607" spans="19:26" ht="16" x14ac:dyDescent="0.2">
      <c r="S607" s="23">
        <v>43014</v>
      </c>
      <c r="T607" s="22">
        <v>18.700000800000002</v>
      </c>
      <c r="U607" s="22">
        <v>19</v>
      </c>
      <c r="V607" s="22">
        <v>18.600000399999999</v>
      </c>
      <c r="W607" s="22">
        <v>18.850000399999999</v>
      </c>
      <c r="X607" s="22">
        <v>13.1016254</v>
      </c>
      <c r="Y607" s="22">
        <v>400600</v>
      </c>
      <c r="Z607" s="22">
        <v>2.6595400000000002E-3</v>
      </c>
    </row>
    <row r="608" spans="19:26" ht="16" x14ac:dyDescent="0.2">
      <c r="S608" s="23">
        <v>43017</v>
      </c>
      <c r="T608" s="22">
        <v>18.850000399999999</v>
      </c>
      <c r="U608" s="22">
        <v>19.049999199999998</v>
      </c>
      <c r="V608" s="22">
        <v>18.75</v>
      </c>
      <c r="W608" s="22">
        <v>18.899999600000001</v>
      </c>
      <c r="X608" s="22">
        <v>13.1363802</v>
      </c>
      <c r="Y608" s="22">
        <v>266600</v>
      </c>
      <c r="Z608" s="22">
        <v>2.65271E-3</v>
      </c>
    </row>
    <row r="609" spans="19:26" ht="16" x14ac:dyDescent="0.2">
      <c r="S609" s="23">
        <v>43018</v>
      </c>
      <c r="T609" s="22">
        <v>18.950000800000002</v>
      </c>
      <c r="U609" s="22">
        <v>19.1800003</v>
      </c>
      <c r="V609" s="22">
        <v>18.899999600000001</v>
      </c>
      <c r="W609" s="22">
        <v>19</v>
      </c>
      <c r="X609" s="22">
        <v>13.205883999999999</v>
      </c>
      <c r="Y609" s="22">
        <v>409300</v>
      </c>
      <c r="Z609" s="22">
        <v>5.2909400000000001E-3</v>
      </c>
    </row>
    <row r="610" spans="19:26" ht="16" x14ac:dyDescent="0.2">
      <c r="S610" s="23">
        <v>43019</v>
      </c>
      <c r="T610" s="22">
        <v>18.75</v>
      </c>
      <c r="U610" s="22">
        <v>19</v>
      </c>
      <c r="V610" s="22">
        <v>18.649999600000001</v>
      </c>
      <c r="W610" s="22">
        <v>18.649999600000001</v>
      </c>
      <c r="X610" s="22">
        <v>12.962615</v>
      </c>
      <c r="Y610" s="22">
        <v>439400</v>
      </c>
      <c r="Z610" s="22">
        <v>-1.8421300000000002E-2</v>
      </c>
    </row>
    <row r="611" spans="19:26" ht="16" x14ac:dyDescent="0.2">
      <c r="S611" s="23">
        <v>43020</v>
      </c>
      <c r="T611" s="22">
        <v>18.600000399999999</v>
      </c>
      <c r="U611" s="22">
        <v>19.450000800000002</v>
      </c>
      <c r="V611" s="22">
        <v>18.469999300000001</v>
      </c>
      <c r="W611" s="22">
        <v>19.100000399999999</v>
      </c>
      <c r="X611" s="22">
        <v>13.2753868</v>
      </c>
      <c r="Y611" s="22">
        <v>1257800</v>
      </c>
      <c r="Z611" s="22">
        <v>2.4128759999999999E-2</v>
      </c>
    </row>
    <row r="612" spans="19:26" ht="16" x14ac:dyDescent="0.2">
      <c r="S612" s="23">
        <v>43021</v>
      </c>
      <c r="T612" s="22">
        <v>19.200000800000002</v>
      </c>
      <c r="U612" s="22">
        <v>19.299999199999998</v>
      </c>
      <c r="V612" s="22">
        <v>19</v>
      </c>
      <c r="W612" s="22">
        <v>19.149999600000001</v>
      </c>
      <c r="X612" s="22">
        <v>13.3101425</v>
      </c>
      <c r="Y612" s="22">
        <v>387300</v>
      </c>
      <c r="Z612" s="22">
        <v>2.6180600000000002E-3</v>
      </c>
    </row>
    <row r="613" spans="19:26" ht="16" x14ac:dyDescent="0.2">
      <c r="S613" s="23">
        <v>43024</v>
      </c>
      <c r="T613" s="22">
        <v>19.149999600000001</v>
      </c>
      <c r="U613" s="22">
        <v>19.299999199999998</v>
      </c>
      <c r="V613" s="22">
        <v>18.899999600000001</v>
      </c>
      <c r="W613" s="22">
        <v>18.950000800000002</v>
      </c>
      <c r="X613" s="22">
        <v>13.1711302</v>
      </c>
      <c r="Y613" s="22">
        <v>386000</v>
      </c>
      <c r="Z613" s="22">
        <v>-1.04441E-2</v>
      </c>
    </row>
    <row r="614" spans="19:26" ht="16" x14ac:dyDescent="0.2">
      <c r="S614" s="23">
        <v>43025</v>
      </c>
      <c r="T614" s="22">
        <v>18.899999600000001</v>
      </c>
      <c r="U614" s="22">
        <v>19.049999199999998</v>
      </c>
      <c r="V614" s="22">
        <v>18.700000800000002</v>
      </c>
      <c r="W614" s="22">
        <v>18.950000800000002</v>
      </c>
      <c r="X614" s="22">
        <v>13.1711302</v>
      </c>
      <c r="Y614" s="22">
        <v>405200</v>
      </c>
      <c r="Z614" s="22">
        <v>0</v>
      </c>
    </row>
    <row r="615" spans="19:26" ht="16" x14ac:dyDescent="0.2">
      <c r="S615" s="23">
        <v>43026</v>
      </c>
      <c r="T615" s="22">
        <v>19.049999199999998</v>
      </c>
      <c r="U615" s="22">
        <v>19.200000800000002</v>
      </c>
      <c r="V615" s="22">
        <v>18.899999600000001</v>
      </c>
      <c r="W615" s="22">
        <v>19</v>
      </c>
      <c r="X615" s="22">
        <v>13.205883999999999</v>
      </c>
      <c r="Y615" s="22">
        <v>478200</v>
      </c>
      <c r="Z615" s="22">
        <v>2.6386299999999999E-3</v>
      </c>
    </row>
    <row r="616" spans="19:26" ht="16" x14ac:dyDescent="0.2">
      <c r="S616" s="23">
        <v>43027</v>
      </c>
      <c r="T616" s="22">
        <v>18.850000399999999</v>
      </c>
      <c r="U616" s="22">
        <v>19</v>
      </c>
      <c r="V616" s="22">
        <v>18.600000399999999</v>
      </c>
      <c r="W616" s="22">
        <v>18.850000399999999</v>
      </c>
      <c r="X616" s="22">
        <v>13.1016254</v>
      </c>
      <c r="Y616" s="22">
        <v>762000</v>
      </c>
      <c r="Z616" s="22">
        <v>-7.8948999999999998E-3</v>
      </c>
    </row>
    <row r="617" spans="19:26" ht="16" x14ac:dyDescent="0.2">
      <c r="S617" s="23">
        <v>43028</v>
      </c>
      <c r="T617" s="22">
        <v>18.950000800000002</v>
      </c>
      <c r="U617" s="22">
        <v>19.149999600000001</v>
      </c>
      <c r="V617" s="22">
        <v>18.850000399999999</v>
      </c>
      <c r="W617" s="22">
        <v>18.950000800000002</v>
      </c>
      <c r="X617" s="22">
        <v>13.1711302</v>
      </c>
      <c r="Y617" s="22">
        <v>317200</v>
      </c>
      <c r="Z617" s="22">
        <v>5.3050500000000004E-3</v>
      </c>
    </row>
    <row r="618" spans="19:26" ht="16" x14ac:dyDescent="0.2">
      <c r="S618" s="23">
        <v>43031</v>
      </c>
      <c r="T618" s="22">
        <v>18.899999600000001</v>
      </c>
      <c r="U618" s="22">
        <v>19</v>
      </c>
      <c r="V618" s="22">
        <v>18.549999199999998</v>
      </c>
      <c r="W618" s="22">
        <v>18.649999600000001</v>
      </c>
      <c r="X618" s="22">
        <v>12.962615</v>
      </c>
      <c r="Y618" s="22">
        <v>610100</v>
      </c>
      <c r="Z618" s="22">
        <v>-1.58312E-2</v>
      </c>
    </row>
    <row r="619" spans="19:26" ht="16" x14ac:dyDescent="0.2">
      <c r="S619" s="23">
        <v>43032</v>
      </c>
      <c r="T619" s="22">
        <v>18.649999600000001</v>
      </c>
      <c r="U619" s="22">
        <v>18.829999900000001</v>
      </c>
      <c r="V619" s="22">
        <v>18.549999199999998</v>
      </c>
      <c r="W619" s="22">
        <v>18.75</v>
      </c>
      <c r="X619" s="22">
        <v>13.0321236</v>
      </c>
      <c r="Y619" s="22">
        <v>450300</v>
      </c>
      <c r="Z619" s="22">
        <v>5.3622299999999999E-3</v>
      </c>
    </row>
    <row r="620" spans="19:26" ht="16" x14ac:dyDescent="0.2">
      <c r="S620" s="23">
        <v>43033</v>
      </c>
      <c r="T620" s="22">
        <v>18.75</v>
      </c>
      <c r="U620" s="22">
        <v>18.899999600000001</v>
      </c>
      <c r="V620" s="22">
        <v>18.450000800000002</v>
      </c>
      <c r="W620" s="22">
        <v>18.649999600000001</v>
      </c>
      <c r="X620" s="22">
        <v>12.962615</v>
      </c>
      <c r="Y620" s="22">
        <v>694600</v>
      </c>
      <c r="Z620" s="22">
        <v>-5.3336E-3</v>
      </c>
    </row>
    <row r="621" spans="19:26" ht="16" x14ac:dyDescent="0.2">
      <c r="S621" s="23">
        <v>43034</v>
      </c>
      <c r="T621" s="22">
        <v>18.700000800000002</v>
      </c>
      <c r="U621" s="22">
        <v>18.850000399999999</v>
      </c>
      <c r="V621" s="22">
        <v>18.5</v>
      </c>
      <c r="W621" s="22">
        <v>18.549999199999998</v>
      </c>
      <c r="X621" s="22">
        <v>12.893115999999999</v>
      </c>
      <c r="Y621" s="22">
        <v>308300</v>
      </c>
      <c r="Z621" s="22">
        <v>-5.3614999999999999E-3</v>
      </c>
    </row>
    <row r="622" spans="19:26" ht="16" x14ac:dyDescent="0.2">
      <c r="S622" s="23">
        <v>43035</v>
      </c>
      <c r="T622" s="22">
        <v>18.549999199999998</v>
      </c>
      <c r="U622" s="22">
        <v>18.75</v>
      </c>
      <c r="V622" s="22">
        <v>18.399999600000001</v>
      </c>
      <c r="W622" s="22">
        <v>18.700000800000002</v>
      </c>
      <c r="X622" s="22">
        <v>12.9973698</v>
      </c>
      <c r="Y622" s="22">
        <v>296900</v>
      </c>
      <c r="Z622" s="22">
        <v>8.0859999999999994E-3</v>
      </c>
    </row>
    <row r="623" spans="19:26" ht="16" x14ac:dyDescent="0.2">
      <c r="S623" s="23">
        <v>43038</v>
      </c>
      <c r="T623" s="22">
        <v>18.649999600000001</v>
      </c>
      <c r="U623" s="22">
        <v>18.700000800000002</v>
      </c>
      <c r="V623" s="22">
        <v>18.450000800000002</v>
      </c>
      <c r="W623" s="22">
        <v>18.549999199999998</v>
      </c>
      <c r="X623" s="22">
        <v>12.893115999999999</v>
      </c>
      <c r="Y623" s="22">
        <v>345800</v>
      </c>
      <c r="Z623" s="22">
        <v>-8.0210999999999998E-3</v>
      </c>
    </row>
    <row r="624" spans="19:26" ht="16" x14ac:dyDescent="0.2">
      <c r="S624" s="23">
        <v>43039</v>
      </c>
      <c r="T624" s="22">
        <v>18.549999199999998</v>
      </c>
      <c r="U624" s="22">
        <v>18.75</v>
      </c>
      <c r="V624" s="22">
        <v>18.399999600000001</v>
      </c>
      <c r="W624" s="22">
        <v>18.600000399999999</v>
      </c>
      <c r="X624" s="22">
        <v>12.927866</v>
      </c>
      <c r="Y624" s="22">
        <v>372300</v>
      </c>
      <c r="Z624" s="22">
        <v>2.6952399999999998E-3</v>
      </c>
    </row>
    <row r="625" spans="19:26" ht="16" x14ac:dyDescent="0.2">
      <c r="S625" s="23">
        <v>43040</v>
      </c>
      <c r="T625" s="22">
        <v>18.700000800000002</v>
      </c>
      <c r="U625" s="22">
        <v>18.850000399999999</v>
      </c>
      <c r="V625" s="22">
        <v>18.450000800000002</v>
      </c>
      <c r="W625" s="22">
        <v>18.5</v>
      </c>
      <c r="X625" s="22">
        <v>12.858360299999999</v>
      </c>
      <c r="Y625" s="22">
        <v>478100</v>
      </c>
      <c r="Z625" s="22">
        <v>-5.3763999999999999E-3</v>
      </c>
    </row>
    <row r="626" spans="19:26" ht="16" x14ac:dyDescent="0.2">
      <c r="S626" s="23">
        <v>43041</v>
      </c>
      <c r="T626" s="22">
        <v>18.649999600000001</v>
      </c>
      <c r="U626" s="22">
        <v>19.5</v>
      </c>
      <c r="V626" s="22">
        <v>18.450000800000002</v>
      </c>
      <c r="W626" s="22">
        <v>18.600000399999999</v>
      </c>
      <c r="X626" s="22">
        <v>12.927866</v>
      </c>
      <c r="Y626" s="22">
        <v>1321800</v>
      </c>
      <c r="Z626" s="22">
        <v>5.4054899999999998E-3</v>
      </c>
    </row>
    <row r="627" spans="19:26" ht="16" x14ac:dyDescent="0.2">
      <c r="S627" s="23">
        <v>43042</v>
      </c>
      <c r="T627" s="22">
        <v>18.549999199999998</v>
      </c>
      <c r="U627" s="22">
        <v>19.649999600000001</v>
      </c>
      <c r="V627" s="22">
        <v>18.549999199999998</v>
      </c>
      <c r="W627" s="22">
        <v>19.299999199999998</v>
      </c>
      <c r="X627" s="22">
        <v>13.4144001</v>
      </c>
      <c r="Y627" s="22">
        <v>1024200</v>
      </c>
      <c r="Z627" s="22">
        <v>3.7634529999999999E-2</v>
      </c>
    </row>
    <row r="628" spans="19:26" ht="16" x14ac:dyDescent="0.2">
      <c r="S628" s="23">
        <v>43045</v>
      </c>
      <c r="T628" s="22">
        <v>19.299999199999998</v>
      </c>
      <c r="U628" s="22">
        <v>19.649999600000001</v>
      </c>
      <c r="V628" s="22">
        <v>19.200000800000002</v>
      </c>
      <c r="W628" s="22">
        <v>19.25</v>
      </c>
      <c r="X628" s="22">
        <v>13.379646299999999</v>
      </c>
      <c r="Y628" s="22">
        <v>519600</v>
      </c>
      <c r="Z628" s="22">
        <v>-2.5907999999999999E-3</v>
      </c>
    </row>
    <row r="629" spans="19:26" ht="16" x14ac:dyDescent="0.2">
      <c r="S629" s="23">
        <v>43046</v>
      </c>
      <c r="T629" s="22">
        <v>19.25</v>
      </c>
      <c r="U629" s="22">
        <v>19.829999900000001</v>
      </c>
      <c r="V629" s="22">
        <v>19.1800003</v>
      </c>
      <c r="W629" s="22">
        <v>19.600000399999999</v>
      </c>
      <c r="X629" s="22">
        <v>13.6229095</v>
      </c>
      <c r="Y629" s="22">
        <v>566000</v>
      </c>
      <c r="Z629" s="22">
        <v>1.8181590000000001E-2</v>
      </c>
    </row>
    <row r="630" spans="19:26" ht="16" x14ac:dyDescent="0.2">
      <c r="S630" s="23">
        <v>43047</v>
      </c>
      <c r="T630" s="22">
        <v>19.5</v>
      </c>
      <c r="U630" s="22">
        <v>19.850000399999999</v>
      </c>
      <c r="V630" s="22">
        <v>19.200000800000002</v>
      </c>
      <c r="W630" s="22">
        <v>19.549999199999998</v>
      </c>
      <c r="X630" s="22">
        <v>13.588159599999999</v>
      </c>
      <c r="Y630" s="22">
        <v>421000</v>
      </c>
      <c r="Z630" s="22">
        <v>-2.5508000000000002E-3</v>
      </c>
    </row>
    <row r="631" spans="19:26" ht="16" x14ac:dyDescent="0.2">
      <c r="S631" s="23">
        <v>43048</v>
      </c>
      <c r="T631" s="22">
        <v>19.399999600000001</v>
      </c>
      <c r="U631" s="22">
        <v>19.799999199999998</v>
      </c>
      <c r="V631" s="22">
        <v>19.399999600000001</v>
      </c>
      <c r="W631" s="22">
        <v>19.600000399999999</v>
      </c>
      <c r="X631" s="22">
        <v>13.6229095</v>
      </c>
      <c r="Y631" s="22">
        <v>290400</v>
      </c>
      <c r="Z631" s="22">
        <v>2.5573700000000002E-3</v>
      </c>
    </row>
    <row r="632" spans="19:26" ht="16" x14ac:dyDescent="0.2">
      <c r="S632" s="23">
        <v>43049</v>
      </c>
      <c r="T632" s="22">
        <v>19.5</v>
      </c>
      <c r="U632" s="22">
        <v>19.75</v>
      </c>
      <c r="V632" s="22">
        <v>19.5</v>
      </c>
      <c r="W632" s="22">
        <v>19.549999199999998</v>
      </c>
      <c r="X632" s="22">
        <v>13.588159599999999</v>
      </c>
      <c r="Y632" s="22">
        <v>693000</v>
      </c>
      <c r="Z632" s="22">
        <v>-2.5508000000000002E-3</v>
      </c>
    </row>
    <row r="633" spans="19:26" ht="16" x14ac:dyDescent="0.2">
      <c r="S633" s="23">
        <v>43052</v>
      </c>
      <c r="T633" s="22">
        <v>19.549999199999998</v>
      </c>
      <c r="U633" s="22">
        <v>19.799999199999998</v>
      </c>
      <c r="V633" s="22">
        <v>19.5</v>
      </c>
      <c r="W633" s="22">
        <v>19.649999600000001</v>
      </c>
      <c r="X633" s="22">
        <v>13.657663299999999</v>
      </c>
      <c r="Y633" s="22">
        <v>608400</v>
      </c>
      <c r="Z633" s="22">
        <v>5.1150299999999996E-3</v>
      </c>
    </row>
    <row r="634" spans="19:26" ht="16" x14ac:dyDescent="0.2">
      <c r="S634" s="23">
        <v>43053</v>
      </c>
      <c r="T634" s="22">
        <v>19.700000800000002</v>
      </c>
      <c r="U634" s="22">
        <v>20.149999600000001</v>
      </c>
      <c r="V634" s="22">
        <v>19.700000800000002</v>
      </c>
      <c r="W634" s="22">
        <v>19.950000800000002</v>
      </c>
      <c r="X634" s="22">
        <v>13.866180399999999</v>
      </c>
      <c r="Y634" s="22">
        <v>791600</v>
      </c>
      <c r="Z634" s="22">
        <v>1.52674E-2</v>
      </c>
    </row>
    <row r="635" spans="19:26" ht="16" x14ac:dyDescent="0.2">
      <c r="S635" s="23">
        <v>43054</v>
      </c>
      <c r="T635" s="22">
        <v>19.950000800000002</v>
      </c>
      <c r="U635" s="22">
        <v>20.049999199999998</v>
      </c>
      <c r="V635" s="22">
        <v>19.6800003</v>
      </c>
      <c r="W635" s="22">
        <v>19.700000800000002</v>
      </c>
      <c r="X635" s="22">
        <v>13.692415199999999</v>
      </c>
      <c r="Y635" s="22">
        <v>430000</v>
      </c>
      <c r="Z635" s="22">
        <v>-1.25316E-2</v>
      </c>
    </row>
    <row r="636" spans="19:26" ht="16" x14ac:dyDescent="0.2">
      <c r="S636" s="23">
        <v>43055</v>
      </c>
      <c r="T636" s="22">
        <v>19.850000399999999</v>
      </c>
      <c r="U636" s="22">
        <v>19.899999600000001</v>
      </c>
      <c r="V636" s="22">
        <v>19.649999600000001</v>
      </c>
      <c r="W636" s="22">
        <v>19.75</v>
      </c>
      <c r="X636" s="22">
        <v>13.727169999999999</v>
      </c>
      <c r="Y636" s="22">
        <v>318100</v>
      </c>
      <c r="Z636" s="22">
        <v>2.5382500000000001E-3</v>
      </c>
    </row>
    <row r="637" spans="19:26" ht="16" x14ac:dyDescent="0.2">
      <c r="S637" s="23">
        <v>43056</v>
      </c>
      <c r="T637" s="22">
        <v>19.649999600000001</v>
      </c>
      <c r="U637" s="22">
        <v>19.850000399999999</v>
      </c>
      <c r="V637" s="22">
        <v>19.600000399999999</v>
      </c>
      <c r="W637" s="22">
        <v>19.700000800000002</v>
      </c>
      <c r="X637" s="22">
        <v>13.692415199999999</v>
      </c>
      <c r="Y637" s="22">
        <v>283800</v>
      </c>
      <c r="Z637" s="22">
        <v>-2.5317999999999998E-3</v>
      </c>
    </row>
    <row r="638" spans="19:26" ht="16" x14ac:dyDescent="0.2">
      <c r="S638" s="23">
        <v>43059</v>
      </c>
      <c r="T638" s="22">
        <v>19.700000800000002</v>
      </c>
      <c r="U638" s="22">
        <v>19.850000399999999</v>
      </c>
      <c r="V638" s="22">
        <v>19.25</v>
      </c>
      <c r="W638" s="22">
        <v>19.399999600000001</v>
      </c>
      <c r="X638" s="22">
        <v>13.483900999999999</v>
      </c>
      <c r="Y638" s="22">
        <v>530000</v>
      </c>
      <c r="Z638" s="22">
        <v>-1.52284E-2</v>
      </c>
    </row>
    <row r="639" spans="19:26" ht="16" x14ac:dyDescent="0.2">
      <c r="S639" s="23">
        <v>43060</v>
      </c>
      <c r="T639" s="22">
        <v>19.450000800000002</v>
      </c>
      <c r="U639" s="22">
        <v>19.649999600000001</v>
      </c>
      <c r="V639" s="22">
        <v>19.200000800000002</v>
      </c>
      <c r="W639" s="22">
        <v>19.25</v>
      </c>
      <c r="X639" s="22">
        <v>13.379646299999999</v>
      </c>
      <c r="Y639" s="22">
        <v>638800</v>
      </c>
      <c r="Z639" s="22">
        <v>-7.7317999999999996E-3</v>
      </c>
    </row>
    <row r="640" spans="19:26" ht="16" x14ac:dyDescent="0.2">
      <c r="S640" s="23">
        <v>43061</v>
      </c>
      <c r="T640" s="22">
        <v>19.299999199999998</v>
      </c>
      <c r="U640" s="22">
        <v>19.649999600000001</v>
      </c>
      <c r="V640" s="22">
        <v>19.299999199999998</v>
      </c>
      <c r="W640" s="22">
        <v>19.549999199999998</v>
      </c>
      <c r="X640" s="22">
        <v>13.588159599999999</v>
      </c>
      <c r="Y640" s="22">
        <v>308800</v>
      </c>
      <c r="Z640" s="22">
        <v>1.558436E-2</v>
      </c>
    </row>
    <row r="641" spans="19:26" ht="16" x14ac:dyDescent="0.2">
      <c r="S641" s="23">
        <v>43063</v>
      </c>
      <c r="T641" s="22">
        <v>19.549999199999998</v>
      </c>
      <c r="U641" s="22">
        <v>19.75</v>
      </c>
      <c r="V641" s="22">
        <v>19.5</v>
      </c>
      <c r="W641" s="22">
        <v>19.600000399999999</v>
      </c>
      <c r="X641" s="22">
        <v>13.6229095</v>
      </c>
      <c r="Y641" s="22">
        <v>116800</v>
      </c>
      <c r="Z641" s="22">
        <v>2.5573700000000002E-3</v>
      </c>
    </row>
    <row r="642" spans="19:26" ht="16" x14ac:dyDescent="0.2">
      <c r="S642" s="23">
        <v>43066</v>
      </c>
      <c r="T642" s="22">
        <v>19.600000399999999</v>
      </c>
      <c r="U642" s="22">
        <v>19.799999199999998</v>
      </c>
      <c r="V642" s="22">
        <v>19.549999199999998</v>
      </c>
      <c r="W642" s="22">
        <v>19.600000399999999</v>
      </c>
      <c r="X642" s="22">
        <v>13.6229095</v>
      </c>
      <c r="Y642" s="22">
        <v>888300</v>
      </c>
      <c r="Z642" s="22">
        <v>0</v>
      </c>
    </row>
    <row r="643" spans="19:26" ht="16" x14ac:dyDescent="0.2">
      <c r="S643" s="23">
        <v>43067</v>
      </c>
      <c r="T643" s="22">
        <v>19.600000399999999</v>
      </c>
      <c r="U643" s="22">
        <v>20</v>
      </c>
      <c r="V643" s="22">
        <v>19.600000399999999</v>
      </c>
      <c r="W643" s="22">
        <v>19.75</v>
      </c>
      <c r="X643" s="22">
        <v>13.727169999999999</v>
      </c>
      <c r="Y643" s="22">
        <v>382900</v>
      </c>
      <c r="Z643" s="22">
        <v>7.6533199999999999E-3</v>
      </c>
    </row>
    <row r="644" spans="19:26" ht="16" x14ac:dyDescent="0.2">
      <c r="S644" s="23">
        <v>43068</v>
      </c>
      <c r="T644" s="22">
        <v>19.799999199999998</v>
      </c>
      <c r="U644" s="22">
        <v>19.850000399999999</v>
      </c>
      <c r="V644" s="22">
        <v>19.549999199999998</v>
      </c>
      <c r="W644" s="22">
        <v>19.649999600000001</v>
      </c>
      <c r="X644" s="22">
        <v>13.657663299999999</v>
      </c>
      <c r="Y644" s="22">
        <v>452100</v>
      </c>
      <c r="Z644" s="22">
        <v>-5.0634E-3</v>
      </c>
    </row>
    <row r="645" spans="19:26" ht="16" x14ac:dyDescent="0.2">
      <c r="S645" s="23">
        <v>43069</v>
      </c>
      <c r="T645" s="22">
        <v>19.450000800000002</v>
      </c>
      <c r="U645" s="22">
        <v>19.5</v>
      </c>
      <c r="V645" s="22">
        <v>18.9300003</v>
      </c>
      <c r="W645" s="22">
        <v>19.049999199999998</v>
      </c>
      <c r="X645" s="22">
        <v>13.437585800000001</v>
      </c>
      <c r="Y645" s="22">
        <v>1550300</v>
      </c>
      <c r="Z645" s="22">
        <v>-1.6113800000000001E-2</v>
      </c>
    </row>
    <row r="646" spans="19:26" ht="16" x14ac:dyDescent="0.2">
      <c r="S646" s="23">
        <v>43070</v>
      </c>
      <c r="T646" s="22">
        <v>19.149999600000001</v>
      </c>
      <c r="U646" s="22">
        <v>19.299999199999998</v>
      </c>
      <c r="V646" s="22">
        <v>19</v>
      </c>
      <c r="W646" s="22">
        <v>19.149999600000001</v>
      </c>
      <c r="X646" s="22">
        <v>13.5081244</v>
      </c>
      <c r="Y646" s="22">
        <v>474800</v>
      </c>
      <c r="Z646" s="22">
        <v>5.2493399999999999E-3</v>
      </c>
    </row>
    <row r="647" spans="19:26" ht="16" x14ac:dyDescent="0.2">
      <c r="S647" s="23">
        <v>43073</v>
      </c>
      <c r="T647" s="22">
        <v>19.200000800000002</v>
      </c>
      <c r="U647" s="22">
        <v>19.399999600000001</v>
      </c>
      <c r="V647" s="22">
        <v>18.520000499999998</v>
      </c>
      <c r="W647" s="22">
        <v>18.600000399999999</v>
      </c>
      <c r="X647" s="22">
        <v>13.120164900000001</v>
      </c>
      <c r="Y647" s="22">
        <v>944700</v>
      </c>
      <c r="Z647" s="22">
        <v>-2.87205E-2</v>
      </c>
    </row>
    <row r="648" spans="19:26" ht="16" x14ac:dyDescent="0.2">
      <c r="S648" s="23">
        <v>43074</v>
      </c>
      <c r="T648" s="22">
        <v>18.700000800000002</v>
      </c>
      <c r="U648" s="22">
        <v>18.700000800000002</v>
      </c>
      <c r="V648" s="22">
        <v>18.5</v>
      </c>
      <c r="W648" s="22">
        <v>18.549999199999998</v>
      </c>
      <c r="X648" s="22">
        <v>13.0848894</v>
      </c>
      <c r="Y648" s="22">
        <v>502400</v>
      </c>
      <c r="Z648" s="22">
        <v>-2.6886000000000002E-3</v>
      </c>
    </row>
    <row r="649" spans="19:26" ht="16" x14ac:dyDescent="0.2">
      <c r="S649" s="23">
        <v>43075</v>
      </c>
      <c r="T649" s="22">
        <v>18.649999600000001</v>
      </c>
      <c r="U649" s="22">
        <v>18.700000800000002</v>
      </c>
      <c r="V649" s="22">
        <v>18.329999900000001</v>
      </c>
      <c r="W649" s="22">
        <v>18.450000800000002</v>
      </c>
      <c r="X649" s="22">
        <v>13.0143547</v>
      </c>
      <c r="Y649" s="22">
        <v>490400</v>
      </c>
      <c r="Z649" s="22">
        <v>-5.3905000000000003E-3</v>
      </c>
    </row>
    <row r="650" spans="19:26" ht="16" x14ac:dyDescent="0.2">
      <c r="S650" s="23">
        <v>43076</v>
      </c>
      <c r="T650" s="22">
        <v>18.350000399999999</v>
      </c>
      <c r="U650" s="22">
        <v>18.600000399999999</v>
      </c>
      <c r="V650" s="22">
        <v>18.200000800000002</v>
      </c>
      <c r="W650" s="22">
        <v>18.5</v>
      </c>
      <c r="X650" s="22">
        <v>13.049619699999999</v>
      </c>
      <c r="Y650" s="22">
        <v>352300</v>
      </c>
      <c r="Z650" s="22">
        <v>2.7097000000000002E-3</v>
      </c>
    </row>
    <row r="651" spans="19:26" ht="16" x14ac:dyDescent="0.2">
      <c r="S651" s="23">
        <v>43077</v>
      </c>
      <c r="T651" s="22">
        <v>18.450000800000002</v>
      </c>
      <c r="U651" s="22">
        <v>18.649999600000001</v>
      </c>
      <c r="V651" s="22">
        <v>18.450000800000002</v>
      </c>
      <c r="W651" s="22">
        <v>18.549999199999998</v>
      </c>
      <c r="X651" s="22">
        <v>13.0848894</v>
      </c>
      <c r="Y651" s="22">
        <v>231400</v>
      </c>
      <c r="Z651" s="22">
        <v>2.7027399999999999E-3</v>
      </c>
    </row>
    <row r="652" spans="19:26" ht="16" x14ac:dyDescent="0.2">
      <c r="S652" s="23">
        <v>43080</v>
      </c>
      <c r="T652" s="22">
        <v>18.600000399999999</v>
      </c>
      <c r="U652" s="22">
        <v>18.8799992</v>
      </c>
      <c r="V652" s="22">
        <v>18.549999199999998</v>
      </c>
      <c r="W652" s="22">
        <v>18.799999199999998</v>
      </c>
      <c r="X652" s="22">
        <v>13.2612419</v>
      </c>
      <c r="Y652" s="22">
        <v>456000</v>
      </c>
      <c r="Z652" s="22">
        <v>1.3477569999999999E-2</v>
      </c>
    </row>
    <row r="653" spans="19:26" ht="16" x14ac:dyDescent="0.2">
      <c r="S653" s="23">
        <v>43081</v>
      </c>
      <c r="T653" s="22">
        <v>18.75</v>
      </c>
      <c r="U653" s="22">
        <v>18.950000800000002</v>
      </c>
      <c r="V653" s="22">
        <v>18.700000800000002</v>
      </c>
      <c r="W653" s="22">
        <v>18.700000800000002</v>
      </c>
      <c r="X653" s="22">
        <v>13.190698599999999</v>
      </c>
      <c r="Y653" s="22">
        <v>641200</v>
      </c>
      <c r="Z653" s="22">
        <v>-5.3194999999999996E-3</v>
      </c>
    </row>
    <row r="654" spans="19:26" ht="16" x14ac:dyDescent="0.2">
      <c r="S654" s="23">
        <v>43082</v>
      </c>
      <c r="T654" s="22">
        <v>18.700000800000002</v>
      </c>
      <c r="U654" s="22">
        <v>19</v>
      </c>
      <c r="V654" s="22">
        <v>18.700000800000002</v>
      </c>
      <c r="W654" s="22">
        <v>18.700000800000002</v>
      </c>
      <c r="X654" s="22">
        <v>13.190698599999999</v>
      </c>
      <c r="Y654" s="22">
        <v>398100</v>
      </c>
      <c r="Z654" s="22">
        <v>0</v>
      </c>
    </row>
    <row r="655" spans="19:26" ht="16" x14ac:dyDescent="0.2">
      <c r="S655" s="23">
        <v>43083</v>
      </c>
      <c r="T655" s="22">
        <v>18.649999600000001</v>
      </c>
      <c r="U655" s="22">
        <v>19.049999199999998</v>
      </c>
      <c r="V655" s="22">
        <v>18.549999199999998</v>
      </c>
      <c r="W655" s="22">
        <v>18.75</v>
      </c>
      <c r="X655" s="22">
        <v>13.2259674</v>
      </c>
      <c r="Y655" s="22">
        <v>433500</v>
      </c>
      <c r="Z655" s="22">
        <v>2.6737599999999999E-3</v>
      </c>
    </row>
    <row r="656" spans="19:26" ht="16" x14ac:dyDescent="0.2">
      <c r="S656" s="23">
        <v>43084</v>
      </c>
      <c r="T656" s="22">
        <v>18.700000800000002</v>
      </c>
      <c r="U656" s="22">
        <v>18.850000399999999</v>
      </c>
      <c r="V656" s="22">
        <v>18.579999900000001</v>
      </c>
      <c r="W656" s="22">
        <v>18.600000399999999</v>
      </c>
      <c r="X656" s="22">
        <v>13.120164900000001</v>
      </c>
      <c r="Y656" s="22">
        <v>825500</v>
      </c>
      <c r="Z656" s="22">
        <v>-7.9996000000000008E-3</v>
      </c>
    </row>
    <row r="657" spans="19:26" ht="16" x14ac:dyDescent="0.2">
      <c r="S657" s="23">
        <v>43087</v>
      </c>
      <c r="T657" s="22">
        <v>18.700000800000002</v>
      </c>
      <c r="U657" s="22">
        <v>18.8799992</v>
      </c>
      <c r="V657" s="22">
        <v>18.700000800000002</v>
      </c>
      <c r="W657" s="22">
        <v>18.799999199999998</v>
      </c>
      <c r="X657" s="22">
        <v>13.2612419</v>
      </c>
      <c r="Y657" s="22">
        <v>704600</v>
      </c>
      <c r="Z657" s="22">
        <v>1.0752690000000001E-2</v>
      </c>
    </row>
    <row r="658" spans="19:26" ht="16" x14ac:dyDescent="0.2">
      <c r="S658" s="23">
        <v>43088</v>
      </c>
      <c r="T658" s="22">
        <v>18.75</v>
      </c>
      <c r="U658" s="22">
        <v>18.950000800000002</v>
      </c>
      <c r="V658" s="22">
        <v>18.350000399999999</v>
      </c>
      <c r="W658" s="22">
        <v>18.600000399999999</v>
      </c>
      <c r="X658" s="22">
        <v>13.120164900000001</v>
      </c>
      <c r="Y658" s="22">
        <v>503300</v>
      </c>
      <c r="Z658" s="22">
        <v>-1.06383E-2</v>
      </c>
    </row>
    <row r="659" spans="19:26" ht="16" x14ac:dyDescent="0.2">
      <c r="S659" s="23">
        <v>43089</v>
      </c>
      <c r="T659" s="22">
        <v>18.549999199999998</v>
      </c>
      <c r="U659" s="22">
        <v>18.709999100000001</v>
      </c>
      <c r="V659" s="22">
        <v>18.350000399999999</v>
      </c>
      <c r="W659" s="22">
        <v>18.450000800000002</v>
      </c>
      <c r="X659" s="22">
        <v>13.0143547</v>
      </c>
      <c r="Y659" s="22">
        <v>514300</v>
      </c>
      <c r="Z659" s="22">
        <v>-8.0646999999999993E-3</v>
      </c>
    </row>
    <row r="660" spans="19:26" ht="16" x14ac:dyDescent="0.2">
      <c r="S660" s="23">
        <v>43090</v>
      </c>
      <c r="T660" s="22">
        <v>18.5</v>
      </c>
      <c r="U660" s="22">
        <v>18.899999600000001</v>
      </c>
      <c r="V660" s="22">
        <v>18.299999199999998</v>
      </c>
      <c r="W660" s="22">
        <v>18.649999600000001</v>
      </c>
      <c r="X660" s="22">
        <v>13.1554327</v>
      </c>
      <c r="Y660" s="22">
        <v>901100</v>
      </c>
      <c r="Z660" s="22">
        <v>1.084018E-2</v>
      </c>
    </row>
    <row r="661" spans="19:26" ht="16" x14ac:dyDescent="0.2">
      <c r="S661" s="23">
        <v>43091</v>
      </c>
      <c r="T661" s="22">
        <v>18.649999600000001</v>
      </c>
      <c r="U661" s="22">
        <v>18.899999600000001</v>
      </c>
      <c r="V661" s="22">
        <v>18.5</v>
      </c>
      <c r="W661" s="22">
        <v>18.700000800000002</v>
      </c>
      <c r="X661" s="22">
        <v>13.190698599999999</v>
      </c>
      <c r="Y661" s="22">
        <v>907700</v>
      </c>
      <c r="Z661" s="22">
        <v>2.6807100000000002E-3</v>
      </c>
    </row>
    <row r="662" spans="19:26" ht="16" x14ac:dyDescent="0.2">
      <c r="S662" s="23">
        <v>43095</v>
      </c>
      <c r="T662" s="22">
        <v>18.75</v>
      </c>
      <c r="U662" s="22">
        <v>18.850000399999999</v>
      </c>
      <c r="V662" s="22">
        <v>18.450000800000002</v>
      </c>
      <c r="W662" s="22">
        <v>18.799999199999998</v>
      </c>
      <c r="X662" s="22">
        <v>13.2612419</v>
      </c>
      <c r="Y662" s="22">
        <v>522600</v>
      </c>
      <c r="Z662" s="22">
        <v>5.3479599999999997E-3</v>
      </c>
    </row>
    <row r="663" spans="19:26" ht="16" x14ac:dyDescent="0.2">
      <c r="S663" s="23">
        <v>43096</v>
      </c>
      <c r="T663" s="22">
        <v>18.850000399999999</v>
      </c>
      <c r="U663" s="22">
        <v>18.950000800000002</v>
      </c>
      <c r="V663" s="22">
        <v>18.75</v>
      </c>
      <c r="W663" s="22">
        <v>18.799999199999998</v>
      </c>
      <c r="X663" s="22">
        <v>13.2612419</v>
      </c>
      <c r="Y663" s="22">
        <v>300400</v>
      </c>
      <c r="Z663" s="22">
        <v>0</v>
      </c>
    </row>
    <row r="664" spans="19:26" ht="16" x14ac:dyDescent="0.2">
      <c r="S664" s="23">
        <v>43097</v>
      </c>
      <c r="T664" s="22">
        <v>18.850000399999999</v>
      </c>
      <c r="U664" s="22">
        <v>19.020000499999998</v>
      </c>
      <c r="V664" s="22">
        <v>18.75</v>
      </c>
      <c r="W664" s="22">
        <v>18.899999600000001</v>
      </c>
      <c r="X664" s="22">
        <v>13.3317795</v>
      </c>
      <c r="Y664" s="22">
        <v>282900</v>
      </c>
      <c r="Z664" s="22">
        <v>5.3190800000000003E-3</v>
      </c>
    </row>
    <row r="665" spans="19:26" ht="16" x14ac:dyDescent="0.2">
      <c r="S665" s="23">
        <v>43098</v>
      </c>
      <c r="T665" s="22">
        <v>18.850000399999999</v>
      </c>
      <c r="U665" s="22">
        <v>19</v>
      </c>
      <c r="V665" s="22">
        <v>18.700000800000002</v>
      </c>
      <c r="W665" s="22">
        <v>18.899999600000001</v>
      </c>
      <c r="X665" s="22">
        <v>13.3317795</v>
      </c>
      <c r="Y665" s="22">
        <v>540500</v>
      </c>
      <c r="Z665" s="22">
        <v>0</v>
      </c>
    </row>
    <row r="666" spans="19:26" ht="16" x14ac:dyDescent="0.2">
      <c r="S666" s="23">
        <v>43102</v>
      </c>
      <c r="T666" s="22">
        <v>19.149999600000001</v>
      </c>
      <c r="U666" s="22">
        <v>19.600000399999999</v>
      </c>
      <c r="V666" s="22">
        <v>18.950000800000002</v>
      </c>
      <c r="W666" s="22">
        <v>19.399999600000001</v>
      </c>
      <c r="X666" s="22">
        <v>13.6844702</v>
      </c>
      <c r="Y666" s="22">
        <v>836200</v>
      </c>
      <c r="Z666" s="22">
        <v>2.6454889999999998E-2</v>
      </c>
    </row>
    <row r="667" spans="19:26" ht="16" x14ac:dyDescent="0.2">
      <c r="S667" s="23">
        <v>43103</v>
      </c>
      <c r="T667" s="22">
        <v>19.399999600000001</v>
      </c>
      <c r="U667" s="22">
        <v>19.450000800000002</v>
      </c>
      <c r="V667" s="22">
        <v>19</v>
      </c>
      <c r="W667" s="22">
        <v>19.200000800000002</v>
      </c>
      <c r="X667" s="22">
        <v>13.5433903</v>
      </c>
      <c r="Y667" s="22">
        <v>510700</v>
      </c>
      <c r="Z667" s="22">
        <v>-1.0309499999999999E-2</v>
      </c>
    </row>
    <row r="668" spans="19:26" ht="16" x14ac:dyDescent="0.2">
      <c r="S668" s="23">
        <v>43104</v>
      </c>
      <c r="T668" s="22">
        <v>19.299999199999998</v>
      </c>
      <c r="U668" s="22">
        <v>19.299999199999998</v>
      </c>
      <c r="V668" s="22">
        <v>18.899999600000001</v>
      </c>
      <c r="W668" s="22">
        <v>18.899999600000001</v>
      </c>
      <c r="X668" s="22">
        <v>13.3317795</v>
      </c>
      <c r="Y668" s="22">
        <v>647700</v>
      </c>
      <c r="Z668" s="22">
        <v>-1.56247E-2</v>
      </c>
    </row>
    <row r="669" spans="19:26" ht="16" x14ac:dyDescent="0.2">
      <c r="S669" s="23">
        <v>43105</v>
      </c>
      <c r="T669" s="22">
        <v>19</v>
      </c>
      <c r="U669" s="22">
        <v>19.149999600000001</v>
      </c>
      <c r="V669" s="22">
        <v>18.899999600000001</v>
      </c>
      <c r="W669" s="22">
        <v>19</v>
      </c>
      <c r="X669" s="22">
        <v>13.4023161</v>
      </c>
      <c r="Y669" s="22">
        <v>644900</v>
      </c>
      <c r="Z669" s="22">
        <v>5.2908599999999997E-3</v>
      </c>
    </row>
    <row r="670" spans="19:26" ht="16" x14ac:dyDescent="0.2">
      <c r="S670" s="23">
        <v>43108</v>
      </c>
      <c r="T670" s="22">
        <v>19.100000399999999</v>
      </c>
      <c r="U670" s="22">
        <v>19.5</v>
      </c>
      <c r="V670" s="22">
        <v>18.950000800000002</v>
      </c>
      <c r="W670" s="22">
        <v>19.200000800000002</v>
      </c>
      <c r="X670" s="22">
        <v>13.5433903</v>
      </c>
      <c r="Y670" s="22">
        <v>788800</v>
      </c>
      <c r="Z670" s="22">
        <v>1.05261E-2</v>
      </c>
    </row>
    <row r="671" spans="19:26" ht="16" x14ac:dyDescent="0.2">
      <c r="S671" s="23">
        <v>43109</v>
      </c>
      <c r="T671" s="22">
        <v>19.149999600000001</v>
      </c>
      <c r="U671" s="22">
        <v>19.149999600000001</v>
      </c>
      <c r="V671" s="22">
        <v>18.850000399999999</v>
      </c>
      <c r="W671" s="22">
        <v>18.950000800000002</v>
      </c>
      <c r="X671" s="22">
        <v>13.3670483</v>
      </c>
      <c r="Y671" s="22">
        <v>662600</v>
      </c>
      <c r="Z671" s="22">
        <v>-1.3020500000000001E-2</v>
      </c>
    </row>
    <row r="672" spans="19:26" ht="16" x14ac:dyDescent="0.2">
      <c r="S672" s="23">
        <v>43110</v>
      </c>
      <c r="T672" s="22">
        <v>18.950000800000002</v>
      </c>
      <c r="U672" s="22">
        <v>19.049999199999998</v>
      </c>
      <c r="V672" s="22">
        <v>18.549999199999998</v>
      </c>
      <c r="W672" s="22">
        <v>18.600000399999999</v>
      </c>
      <c r="X672" s="22">
        <v>13.120164900000001</v>
      </c>
      <c r="Y672" s="22">
        <v>369300</v>
      </c>
      <c r="Z672" s="22">
        <v>-1.8469599999999999E-2</v>
      </c>
    </row>
    <row r="673" spans="19:26" ht="16" x14ac:dyDescent="0.2">
      <c r="S673" s="23">
        <v>43111</v>
      </c>
      <c r="T673" s="22">
        <v>18.700000800000002</v>
      </c>
      <c r="U673" s="22">
        <v>18.950000800000002</v>
      </c>
      <c r="V673" s="22">
        <v>18.549999199999998</v>
      </c>
      <c r="W673" s="22">
        <v>18.799999199999998</v>
      </c>
      <c r="X673" s="22">
        <v>13.2612419</v>
      </c>
      <c r="Y673" s="22">
        <v>342200</v>
      </c>
      <c r="Z673" s="22">
        <v>1.0752690000000001E-2</v>
      </c>
    </row>
    <row r="674" spans="19:26" ht="16" x14ac:dyDescent="0.2">
      <c r="S674" s="23">
        <v>43112</v>
      </c>
      <c r="T674" s="22">
        <v>18.799999199999998</v>
      </c>
      <c r="U674" s="22">
        <v>18.899999600000001</v>
      </c>
      <c r="V674" s="22">
        <v>18.549999199999998</v>
      </c>
      <c r="W674" s="22">
        <v>18.700000800000002</v>
      </c>
      <c r="X674" s="22">
        <v>13.190698599999999</v>
      </c>
      <c r="Y674" s="22">
        <v>719800</v>
      </c>
      <c r="Z674" s="22">
        <v>-5.3194999999999996E-3</v>
      </c>
    </row>
    <row r="675" spans="19:26" ht="16" x14ac:dyDescent="0.2">
      <c r="S675" s="23">
        <v>43116</v>
      </c>
      <c r="T675" s="22">
        <v>18.700000800000002</v>
      </c>
      <c r="U675" s="22">
        <v>18.850000399999999</v>
      </c>
      <c r="V675" s="22">
        <v>18.350000399999999</v>
      </c>
      <c r="W675" s="22">
        <v>18.450000800000002</v>
      </c>
      <c r="X675" s="22">
        <v>13.0143547</v>
      </c>
      <c r="Y675" s="22">
        <v>474100</v>
      </c>
      <c r="Z675" s="22">
        <v>-1.33688E-2</v>
      </c>
    </row>
    <row r="676" spans="19:26" ht="16" x14ac:dyDescent="0.2">
      <c r="S676" s="23">
        <v>43117</v>
      </c>
      <c r="T676" s="22">
        <v>18.450000800000002</v>
      </c>
      <c r="U676" s="22">
        <v>18.600000399999999</v>
      </c>
      <c r="V676" s="22">
        <v>18.299999199999998</v>
      </c>
      <c r="W676" s="22">
        <v>18.399999600000001</v>
      </c>
      <c r="X676" s="22">
        <v>12.979085899999999</v>
      </c>
      <c r="Y676" s="22">
        <v>803900</v>
      </c>
      <c r="Z676" s="22">
        <v>-2.7100000000000002E-3</v>
      </c>
    </row>
    <row r="677" spans="19:26" ht="16" x14ac:dyDescent="0.2">
      <c r="S677" s="23">
        <v>43118</v>
      </c>
      <c r="T677" s="22">
        <v>18.399999600000001</v>
      </c>
      <c r="U677" s="22">
        <v>18.649999600000001</v>
      </c>
      <c r="V677" s="22">
        <v>18.25</v>
      </c>
      <c r="W677" s="22">
        <v>18.5</v>
      </c>
      <c r="X677" s="22">
        <v>13.049619699999999</v>
      </c>
      <c r="Y677" s="22">
        <v>638400</v>
      </c>
      <c r="Z677" s="22">
        <v>5.4344199999999997E-3</v>
      </c>
    </row>
    <row r="678" spans="19:26" ht="16" x14ac:dyDescent="0.2">
      <c r="S678" s="23">
        <v>43119</v>
      </c>
      <c r="T678" s="22">
        <v>18.450000800000002</v>
      </c>
      <c r="U678" s="22">
        <v>18.75</v>
      </c>
      <c r="V678" s="22">
        <v>18.399999600000001</v>
      </c>
      <c r="W678" s="22">
        <v>18.549999199999998</v>
      </c>
      <c r="X678" s="22">
        <v>13.0848894</v>
      </c>
      <c r="Y678" s="22">
        <v>1260900</v>
      </c>
      <c r="Z678" s="22">
        <v>2.7027399999999999E-3</v>
      </c>
    </row>
    <row r="679" spans="19:26" ht="16" x14ac:dyDescent="0.2">
      <c r="S679" s="23">
        <v>43122</v>
      </c>
      <c r="T679" s="22">
        <v>18.549999199999998</v>
      </c>
      <c r="U679" s="22">
        <v>18.799999199999998</v>
      </c>
      <c r="V679" s="22">
        <v>18.549999199999998</v>
      </c>
      <c r="W679" s="22">
        <v>18.700000800000002</v>
      </c>
      <c r="X679" s="22">
        <v>13.190698599999999</v>
      </c>
      <c r="Y679" s="22">
        <v>444000</v>
      </c>
      <c r="Z679" s="22">
        <v>8.0863700000000007E-3</v>
      </c>
    </row>
    <row r="680" spans="19:26" ht="16" x14ac:dyDescent="0.2">
      <c r="S680" s="23">
        <v>43123</v>
      </c>
      <c r="T680" s="22">
        <v>18.649999600000001</v>
      </c>
      <c r="U680" s="22">
        <v>19.299999199999998</v>
      </c>
      <c r="V680" s="22">
        <v>18.600000399999999</v>
      </c>
      <c r="W680" s="22">
        <v>19.149999600000001</v>
      </c>
      <c r="X680" s="22">
        <v>13.5081244</v>
      </c>
      <c r="Y680" s="22">
        <v>627400</v>
      </c>
      <c r="Z680" s="22">
        <v>2.406436E-2</v>
      </c>
    </row>
    <row r="681" spans="19:26" ht="16" x14ac:dyDescent="0.2">
      <c r="S681" s="23">
        <v>43124</v>
      </c>
      <c r="T681" s="22">
        <v>19.149999600000001</v>
      </c>
      <c r="U681" s="22">
        <v>19.149999600000001</v>
      </c>
      <c r="V681" s="22">
        <v>18.850000399999999</v>
      </c>
      <c r="W681" s="22">
        <v>19.100000399999999</v>
      </c>
      <c r="X681" s="22">
        <v>13.4728546</v>
      </c>
      <c r="Y681" s="22">
        <v>561000</v>
      </c>
      <c r="Z681" s="22">
        <v>-2.611E-3</v>
      </c>
    </row>
    <row r="682" spans="19:26" ht="16" x14ac:dyDescent="0.2">
      <c r="S682" s="23">
        <v>43125</v>
      </c>
      <c r="T682" s="22">
        <v>19.100000399999999</v>
      </c>
      <c r="U682" s="22">
        <v>19.25</v>
      </c>
      <c r="V682" s="22">
        <v>19</v>
      </c>
      <c r="W682" s="22">
        <v>19.25</v>
      </c>
      <c r="X682" s="22">
        <v>13.5786572</v>
      </c>
      <c r="Y682" s="22">
        <v>397100</v>
      </c>
      <c r="Z682" s="22">
        <v>7.8530200000000005E-3</v>
      </c>
    </row>
    <row r="683" spans="19:26" ht="16" x14ac:dyDescent="0.2">
      <c r="S683" s="23">
        <v>43126</v>
      </c>
      <c r="T683" s="22">
        <v>19.299999199999998</v>
      </c>
      <c r="U683" s="22">
        <v>19.299999199999998</v>
      </c>
      <c r="V683" s="22">
        <v>19</v>
      </c>
      <c r="W683" s="22">
        <v>19.149999600000001</v>
      </c>
      <c r="X683" s="22">
        <v>13.5081244</v>
      </c>
      <c r="Y683" s="22">
        <v>727900</v>
      </c>
      <c r="Z683" s="22">
        <v>-5.1944000000000001E-3</v>
      </c>
    </row>
    <row r="684" spans="19:26" ht="16" x14ac:dyDescent="0.2">
      <c r="S684" s="23">
        <v>43129</v>
      </c>
      <c r="T684" s="22">
        <v>19.149999600000001</v>
      </c>
      <c r="U684" s="22">
        <v>19.200000800000002</v>
      </c>
      <c r="V684" s="22">
        <v>18.799999199999998</v>
      </c>
      <c r="W684" s="22">
        <v>18.850000399999999</v>
      </c>
      <c r="X684" s="22">
        <v>13.2965088</v>
      </c>
      <c r="Y684" s="22">
        <v>389200</v>
      </c>
      <c r="Z684" s="22">
        <v>-1.5665800000000001E-2</v>
      </c>
    </row>
    <row r="685" spans="19:26" ht="16" x14ac:dyDescent="0.2">
      <c r="S685" s="23">
        <v>43130</v>
      </c>
      <c r="T685" s="22">
        <v>18.799999199999998</v>
      </c>
      <c r="U685" s="22">
        <v>19.049999199999998</v>
      </c>
      <c r="V685" s="22">
        <v>18.770000499999998</v>
      </c>
      <c r="W685" s="22">
        <v>18.899999600000001</v>
      </c>
      <c r="X685" s="22">
        <v>13.3317795</v>
      </c>
      <c r="Y685" s="22">
        <v>386400</v>
      </c>
      <c r="Z685" s="22">
        <v>2.65263E-3</v>
      </c>
    </row>
    <row r="686" spans="19:26" ht="16" x14ac:dyDescent="0.2">
      <c r="S686" s="23">
        <v>43131</v>
      </c>
      <c r="T686" s="22">
        <v>19</v>
      </c>
      <c r="U686" s="22">
        <v>19.1299992</v>
      </c>
      <c r="V686" s="22">
        <v>18.75</v>
      </c>
      <c r="W686" s="22">
        <v>18.899999600000001</v>
      </c>
      <c r="X686" s="22">
        <v>13.3317795</v>
      </c>
      <c r="Y686" s="22">
        <v>507300</v>
      </c>
      <c r="Z686" s="22">
        <v>0</v>
      </c>
    </row>
    <row r="687" spans="19:26" ht="16" x14ac:dyDescent="0.2">
      <c r="S687" s="23">
        <v>43132</v>
      </c>
      <c r="T687" s="22">
        <v>18.899999600000001</v>
      </c>
      <c r="U687" s="22">
        <v>19</v>
      </c>
      <c r="V687" s="22">
        <v>18.75</v>
      </c>
      <c r="W687" s="22">
        <v>18.850000399999999</v>
      </c>
      <c r="X687" s="22">
        <v>13.2965088</v>
      </c>
      <c r="Y687" s="22">
        <v>351000</v>
      </c>
      <c r="Z687" s="22">
        <v>-2.6456000000000001E-3</v>
      </c>
    </row>
    <row r="688" spans="19:26" ht="16" x14ac:dyDescent="0.2">
      <c r="S688" s="23">
        <v>43133</v>
      </c>
      <c r="T688" s="22">
        <v>18.700000800000002</v>
      </c>
      <c r="U688" s="22">
        <v>18.75</v>
      </c>
      <c r="V688" s="22">
        <v>18.399999600000001</v>
      </c>
      <c r="W688" s="22">
        <v>18.450000800000002</v>
      </c>
      <c r="X688" s="22">
        <v>13.0143547</v>
      </c>
      <c r="Y688" s="22">
        <v>675600</v>
      </c>
      <c r="Z688" s="22">
        <v>-2.1220200000000002E-2</v>
      </c>
    </row>
    <row r="689" spans="19:26" ht="16" x14ac:dyDescent="0.2">
      <c r="S689" s="23">
        <v>43136</v>
      </c>
      <c r="T689" s="22">
        <v>18.350000399999999</v>
      </c>
      <c r="U689" s="22">
        <v>18.649999600000001</v>
      </c>
      <c r="V689" s="22">
        <v>17.850000399999999</v>
      </c>
      <c r="W689" s="22">
        <v>17.899999600000001</v>
      </c>
      <c r="X689" s="22">
        <v>12.6263924</v>
      </c>
      <c r="Y689" s="22">
        <v>821100</v>
      </c>
      <c r="Z689" s="22">
        <v>-2.9810300000000001E-2</v>
      </c>
    </row>
    <row r="690" spans="19:26" ht="16" x14ac:dyDescent="0.2">
      <c r="S690" s="23">
        <v>43137</v>
      </c>
      <c r="T690" s="22">
        <v>17.600000399999999</v>
      </c>
      <c r="U690" s="22">
        <v>17.700000800000002</v>
      </c>
      <c r="V690" s="22">
        <v>16.649999600000001</v>
      </c>
      <c r="W690" s="22">
        <v>17.149999600000001</v>
      </c>
      <c r="X690" s="22">
        <v>12.097352000000001</v>
      </c>
      <c r="Y690" s="22">
        <v>1720900</v>
      </c>
      <c r="Z690" s="22">
        <v>-4.1899600000000002E-2</v>
      </c>
    </row>
    <row r="691" spans="19:26" ht="16" x14ac:dyDescent="0.2">
      <c r="S691" s="23">
        <v>43138</v>
      </c>
      <c r="T691" s="22">
        <v>17.049999199999998</v>
      </c>
      <c r="U691" s="22">
        <v>17.100000399999999</v>
      </c>
      <c r="V691" s="22">
        <v>16.149999600000001</v>
      </c>
      <c r="W691" s="22">
        <v>16.399999600000001</v>
      </c>
      <c r="X691" s="22">
        <v>11.568314600000001</v>
      </c>
      <c r="Y691" s="22">
        <v>2883000</v>
      </c>
      <c r="Z691" s="22">
        <v>-4.3731699999999998E-2</v>
      </c>
    </row>
    <row r="692" spans="19:26" ht="16" x14ac:dyDescent="0.2">
      <c r="S692" s="23">
        <v>43139</v>
      </c>
      <c r="T692" s="22">
        <v>16.350000399999999</v>
      </c>
      <c r="U692" s="22">
        <v>17.149999600000001</v>
      </c>
      <c r="V692" s="22">
        <v>16.25</v>
      </c>
      <c r="W692" s="22">
        <v>16.799999199999998</v>
      </c>
      <c r="X692" s="22">
        <v>11.850468599999999</v>
      </c>
      <c r="Y692" s="22">
        <v>2334500</v>
      </c>
      <c r="Z692" s="22">
        <v>2.4390249999999999E-2</v>
      </c>
    </row>
    <row r="693" spans="19:26" ht="16" x14ac:dyDescent="0.2">
      <c r="S693" s="23">
        <v>43140</v>
      </c>
      <c r="T693" s="22">
        <v>16.850000399999999</v>
      </c>
      <c r="U693" s="22">
        <v>17.100000399999999</v>
      </c>
      <c r="V693" s="22">
        <v>16.479999500000002</v>
      </c>
      <c r="W693" s="22">
        <v>16.850000399999999</v>
      </c>
      <c r="X693" s="22">
        <v>11.885739299999999</v>
      </c>
      <c r="Y693" s="22">
        <v>829000</v>
      </c>
      <c r="Z693" s="22">
        <v>2.9763099999999998E-3</v>
      </c>
    </row>
    <row r="694" spans="19:26" ht="16" x14ac:dyDescent="0.2">
      <c r="S694" s="23">
        <v>43143</v>
      </c>
      <c r="T694" s="22">
        <v>16.899999600000001</v>
      </c>
      <c r="U694" s="22">
        <v>16.899999600000001</v>
      </c>
      <c r="V694" s="22">
        <v>16.200000800000002</v>
      </c>
      <c r="W694" s="22">
        <v>16.549999199999998</v>
      </c>
      <c r="X694" s="22">
        <v>11.6741209</v>
      </c>
      <c r="Y694" s="22">
        <v>1570700</v>
      </c>
      <c r="Z694" s="22">
        <v>-1.7804400000000001E-2</v>
      </c>
    </row>
    <row r="695" spans="19:26" ht="16" x14ac:dyDescent="0.2">
      <c r="S695" s="23">
        <v>43144</v>
      </c>
      <c r="T695" s="22">
        <v>16.5</v>
      </c>
      <c r="U695" s="22">
        <v>16.649999600000001</v>
      </c>
      <c r="V695" s="22">
        <v>16.25</v>
      </c>
      <c r="W695" s="22">
        <v>16.549999199999998</v>
      </c>
      <c r="X695" s="22">
        <v>11.6741209</v>
      </c>
      <c r="Y695" s="22">
        <v>1100700</v>
      </c>
      <c r="Z695" s="22">
        <v>0</v>
      </c>
    </row>
    <row r="696" spans="19:26" ht="16" x14ac:dyDescent="0.2">
      <c r="S696" s="23">
        <v>43145</v>
      </c>
      <c r="T696" s="22">
        <v>16.450000800000002</v>
      </c>
      <c r="U696" s="22">
        <v>16.5</v>
      </c>
      <c r="V696" s="22">
        <v>16.200000800000002</v>
      </c>
      <c r="W696" s="22">
        <v>16.299999199999998</v>
      </c>
      <c r="X696" s="22">
        <v>11.497776999999999</v>
      </c>
      <c r="Y696" s="22">
        <v>759800</v>
      </c>
      <c r="Z696" s="22">
        <v>-1.5105499999999999E-2</v>
      </c>
    </row>
    <row r="697" spans="19:26" ht="16" x14ac:dyDescent="0.2">
      <c r="S697" s="23">
        <v>43146</v>
      </c>
      <c r="T697" s="22">
        <v>16.350000399999999</v>
      </c>
      <c r="U697" s="22">
        <v>16.5</v>
      </c>
      <c r="V697" s="22">
        <v>16.149999600000001</v>
      </c>
      <c r="W697" s="22">
        <v>16.350000399999999</v>
      </c>
      <c r="X697" s="22">
        <v>11.533044800000001</v>
      </c>
      <c r="Y697" s="22">
        <v>547800</v>
      </c>
      <c r="Z697" s="22">
        <v>3.0673599999999999E-3</v>
      </c>
    </row>
    <row r="698" spans="19:26" ht="16" x14ac:dyDescent="0.2">
      <c r="S698" s="23">
        <v>43147</v>
      </c>
      <c r="T698" s="22">
        <v>16.399999600000001</v>
      </c>
      <c r="U698" s="22">
        <v>16.700000800000002</v>
      </c>
      <c r="V698" s="22">
        <v>16.399999600000001</v>
      </c>
      <c r="W698" s="22">
        <v>16.649999600000001</v>
      </c>
      <c r="X698" s="22">
        <v>11.7446623</v>
      </c>
      <c r="Y698" s="22">
        <v>643400</v>
      </c>
      <c r="Z698" s="22">
        <v>1.834879E-2</v>
      </c>
    </row>
    <row r="699" spans="19:26" ht="16" x14ac:dyDescent="0.2">
      <c r="S699" s="23">
        <v>43151</v>
      </c>
      <c r="T699" s="22">
        <v>16.600000399999999</v>
      </c>
      <c r="U699" s="22">
        <v>16.75</v>
      </c>
      <c r="V699" s="22">
        <v>16.200000800000002</v>
      </c>
      <c r="W699" s="22">
        <v>16.350000399999999</v>
      </c>
      <c r="X699" s="22">
        <v>11.533044800000001</v>
      </c>
      <c r="Y699" s="22">
        <v>741500</v>
      </c>
      <c r="Z699" s="22">
        <v>-1.8018200000000002E-2</v>
      </c>
    </row>
    <row r="700" spans="19:26" ht="16" x14ac:dyDescent="0.2">
      <c r="S700" s="23">
        <v>43152</v>
      </c>
      <c r="T700" s="22">
        <v>16.299999199999998</v>
      </c>
      <c r="U700" s="22">
        <v>16.350000399999999</v>
      </c>
      <c r="V700" s="22">
        <v>15.850000400000001</v>
      </c>
      <c r="W700" s="22">
        <v>15.850000400000001</v>
      </c>
      <c r="X700" s="22">
        <v>11.180353200000001</v>
      </c>
      <c r="Y700" s="22">
        <v>979400</v>
      </c>
      <c r="Z700" s="22">
        <v>-3.0581000000000001E-2</v>
      </c>
    </row>
    <row r="701" spans="19:26" ht="16" x14ac:dyDescent="0.2">
      <c r="S701" s="23">
        <v>43153</v>
      </c>
      <c r="T701" s="22">
        <v>15.850000400000001</v>
      </c>
      <c r="U701" s="22">
        <v>16.5</v>
      </c>
      <c r="V701" s="22">
        <v>15.850000400000001</v>
      </c>
      <c r="W701" s="22">
        <v>16.100000399999999</v>
      </c>
      <c r="X701" s="22">
        <v>11.356699000000001</v>
      </c>
      <c r="Y701" s="22">
        <v>895000</v>
      </c>
      <c r="Z701" s="22">
        <v>1.5772830000000002E-2</v>
      </c>
    </row>
    <row r="702" spans="19:26" ht="16" x14ac:dyDescent="0.2">
      <c r="S702" s="23">
        <v>43154</v>
      </c>
      <c r="T702" s="22">
        <v>16.200000800000002</v>
      </c>
      <c r="U702" s="22">
        <v>16.950000800000002</v>
      </c>
      <c r="V702" s="22">
        <v>16.149999600000001</v>
      </c>
      <c r="W702" s="22">
        <v>16.700000800000002</v>
      </c>
      <c r="X702" s="22">
        <v>11.779931100000001</v>
      </c>
      <c r="Y702" s="22">
        <v>673900</v>
      </c>
      <c r="Z702" s="22">
        <v>3.7267170000000002E-2</v>
      </c>
    </row>
    <row r="703" spans="19:26" ht="16" x14ac:dyDescent="0.2">
      <c r="S703" s="23">
        <v>43157</v>
      </c>
      <c r="T703" s="22">
        <v>16.700000800000002</v>
      </c>
      <c r="U703" s="22">
        <v>16.799999199999998</v>
      </c>
      <c r="V703" s="22">
        <v>16.450000800000002</v>
      </c>
      <c r="W703" s="22">
        <v>16.450000800000002</v>
      </c>
      <c r="X703" s="22">
        <v>11.603581399999999</v>
      </c>
      <c r="Y703" s="22">
        <v>604500</v>
      </c>
      <c r="Z703" s="22">
        <v>-1.4970300000000001E-2</v>
      </c>
    </row>
    <row r="704" spans="19:26" ht="16" x14ac:dyDescent="0.2">
      <c r="S704" s="23">
        <v>43158</v>
      </c>
      <c r="T704" s="22">
        <v>16.399999600000001</v>
      </c>
      <c r="U704" s="22">
        <v>16.649999600000001</v>
      </c>
      <c r="V704" s="22">
        <v>16.200000800000002</v>
      </c>
      <c r="W704" s="22">
        <v>16.200000800000002</v>
      </c>
      <c r="X704" s="22">
        <v>11.4272385</v>
      </c>
      <c r="Y704" s="22">
        <v>544300</v>
      </c>
      <c r="Z704" s="22">
        <v>-1.51973E-2</v>
      </c>
    </row>
    <row r="705" spans="19:26" ht="16" x14ac:dyDescent="0.2">
      <c r="S705" s="23">
        <v>43159</v>
      </c>
      <c r="T705" s="22">
        <v>15.949999800000001</v>
      </c>
      <c r="U705" s="22">
        <v>16.25</v>
      </c>
      <c r="V705" s="22">
        <v>15.600000400000001</v>
      </c>
      <c r="W705" s="22">
        <v>15.649999599999999</v>
      </c>
      <c r="X705" s="22">
        <v>11.2461491</v>
      </c>
      <c r="Y705" s="22">
        <v>1685000</v>
      </c>
      <c r="Z705" s="22">
        <v>-1.5847199999999999E-2</v>
      </c>
    </row>
    <row r="706" spans="19:26" ht="16" x14ac:dyDescent="0.2">
      <c r="S706" s="23">
        <v>43160</v>
      </c>
      <c r="T706" s="22">
        <v>15.600000400000001</v>
      </c>
      <c r="U706" s="22">
        <v>16.799999199999998</v>
      </c>
      <c r="V706" s="22">
        <v>15.550000199999999</v>
      </c>
      <c r="W706" s="22">
        <v>16.399999600000001</v>
      </c>
      <c r="X706" s="22">
        <v>11.785102800000001</v>
      </c>
      <c r="Y706" s="22">
        <v>1245700</v>
      </c>
      <c r="Z706" s="22">
        <v>4.792341E-2</v>
      </c>
    </row>
    <row r="707" spans="19:26" ht="16" x14ac:dyDescent="0.2">
      <c r="S707" s="23">
        <v>43161</v>
      </c>
      <c r="T707" s="22">
        <v>16.299999199999998</v>
      </c>
      <c r="U707" s="22">
        <v>16.600000399999999</v>
      </c>
      <c r="V707" s="22">
        <v>16.100000399999999</v>
      </c>
      <c r="W707" s="22">
        <v>16.399999600000001</v>
      </c>
      <c r="X707" s="22">
        <v>11.785102800000001</v>
      </c>
      <c r="Y707" s="22">
        <v>921700</v>
      </c>
      <c r="Z707" s="22">
        <v>0</v>
      </c>
    </row>
    <row r="708" spans="19:26" ht="16" x14ac:dyDescent="0.2">
      <c r="S708" s="23">
        <v>43164</v>
      </c>
      <c r="T708" s="22">
        <v>16.299999199999998</v>
      </c>
      <c r="U708" s="22">
        <v>16.649999600000001</v>
      </c>
      <c r="V708" s="22">
        <v>16.25</v>
      </c>
      <c r="W708" s="22">
        <v>16.299999199999998</v>
      </c>
      <c r="X708" s="22">
        <v>11.7132416</v>
      </c>
      <c r="Y708" s="22">
        <v>596200</v>
      </c>
      <c r="Z708" s="22">
        <v>-6.0975999999999999E-3</v>
      </c>
    </row>
    <row r="709" spans="19:26" ht="16" x14ac:dyDescent="0.2">
      <c r="S709" s="23">
        <v>43165</v>
      </c>
      <c r="T709" s="22">
        <v>16.350000399999999</v>
      </c>
      <c r="U709" s="22">
        <v>16.479999500000002</v>
      </c>
      <c r="V709" s="22">
        <v>16.149999600000001</v>
      </c>
      <c r="W709" s="22">
        <v>16.350000399999999</v>
      </c>
      <c r="X709" s="22">
        <v>11.749174099999999</v>
      </c>
      <c r="Y709" s="22">
        <v>566300</v>
      </c>
      <c r="Z709" s="22">
        <v>3.0676900000000001E-3</v>
      </c>
    </row>
    <row r="710" spans="19:26" ht="16" x14ac:dyDescent="0.2">
      <c r="S710" s="23">
        <v>43166</v>
      </c>
      <c r="T710" s="22">
        <v>16.5</v>
      </c>
      <c r="U710" s="22">
        <v>16.700000800000002</v>
      </c>
      <c r="V710" s="22">
        <v>16.350000399999999</v>
      </c>
      <c r="W710" s="22">
        <v>16.399999600000001</v>
      </c>
      <c r="X710" s="22">
        <v>11.785102800000001</v>
      </c>
      <c r="Y710" s="22">
        <v>686800</v>
      </c>
      <c r="Z710" s="22">
        <v>3.0579800000000001E-3</v>
      </c>
    </row>
    <row r="711" spans="19:26" ht="16" x14ac:dyDescent="0.2">
      <c r="S711" s="23">
        <v>43167</v>
      </c>
      <c r="T711" s="22">
        <v>16.5</v>
      </c>
      <c r="U711" s="22">
        <v>16.700000800000002</v>
      </c>
      <c r="V711" s="22">
        <v>16.350000399999999</v>
      </c>
      <c r="W711" s="22">
        <v>16.5</v>
      </c>
      <c r="X711" s="22">
        <v>11.8569622</v>
      </c>
      <c r="Y711" s="22">
        <v>440700</v>
      </c>
      <c r="Z711" s="22">
        <v>6.0974699999999998E-3</v>
      </c>
    </row>
    <row r="712" spans="19:26" ht="16" x14ac:dyDescent="0.2">
      <c r="S712" s="23">
        <v>43168</v>
      </c>
      <c r="T712" s="22">
        <v>16.600000399999999</v>
      </c>
      <c r="U712" s="22">
        <v>16.799999199999998</v>
      </c>
      <c r="V712" s="22">
        <v>16.450000800000002</v>
      </c>
      <c r="W712" s="22">
        <v>16.75</v>
      </c>
      <c r="X712" s="22">
        <v>12.0366135</v>
      </c>
      <c r="Y712" s="22">
        <v>470000</v>
      </c>
      <c r="Z712" s="22">
        <v>1.515154E-2</v>
      </c>
    </row>
    <row r="713" spans="19:26" ht="16" x14ac:dyDescent="0.2">
      <c r="S713" s="23">
        <v>43171</v>
      </c>
      <c r="T713" s="22">
        <v>16.799999199999998</v>
      </c>
      <c r="U713" s="22">
        <v>17.049999199999998</v>
      </c>
      <c r="V713" s="22">
        <v>16.799999199999998</v>
      </c>
      <c r="W713" s="22">
        <v>16.950000800000002</v>
      </c>
      <c r="X713" s="22">
        <v>12.1803322</v>
      </c>
      <c r="Y713" s="22">
        <v>346200</v>
      </c>
      <c r="Z713" s="22">
        <v>1.194013E-2</v>
      </c>
    </row>
    <row r="714" spans="19:26" ht="16" x14ac:dyDescent="0.2">
      <c r="S714" s="23">
        <v>43172</v>
      </c>
      <c r="T714" s="22">
        <v>17.049999199999998</v>
      </c>
      <c r="U714" s="22">
        <v>17.200000800000002</v>
      </c>
      <c r="V714" s="22">
        <v>16.75</v>
      </c>
      <c r="W714" s="22">
        <v>16.799999199999998</v>
      </c>
      <c r="X714" s="22">
        <v>12.072542199999999</v>
      </c>
      <c r="Y714" s="22">
        <v>600400</v>
      </c>
      <c r="Z714" s="22">
        <v>-8.8494999999999997E-3</v>
      </c>
    </row>
    <row r="715" spans="19:26" ht="16" x14ac:dyDescent="0.2">
      <c r="S715" s="23">
        <v>43173</v>
      </c>
      <c r="T715" s="22">
        <v>16.850000399999999</v>
      </c>
      <c r="U715" s="22">
        <v>17.100000399999999</v>
      </c>
      <c r="V715" s="22">
        <v>16.850000399999999</v>
      </c>
      <c r="W715" s="22">
        <v>17.100000399999999</v>
      </c>
      <c r="X715" s="22">
        <v>12.288125000000001</v>
      </c>
      <c r="Y715" s="22">
        <v>360800</v>
      </c>
      <c r="Z715" s="22">
        <v>1.7857290000000001E-2</v>
      </c>
    </row>
    <row r="716" spans="19:26" ht="16" x14ac:dyDescent="0.2">
      <c r="S716" s="23">
        <v>43174</v>
      </c>
      <c r="T716" s="22">
        <v>17</v>
      </c>
      <c r="U716" s="22">
        <v>17.149999600000001</v>
      </c>
      <c r="V716" s="22">
        <v>16.719999300000001</v>
      </c>
      <c r="W716" s="22">
        <v>16.899999600000001</v>
      </c>
      <c r="X716" s="22">
        <v>12.1444025</v>
      </c>
      <c r="Y716" s="22">
        <v>341000</v>
      </c>
      <c r="Z716" s="22">
        <v>-1.1696099999999999E-2</v>
      </c>
    </row>
    <row r="717" spans="19:26" ht="16" x14ac:dyDescent="0.2">
      <c r="S717" s="23">
        <v>43175</v>
      </c>
      <c r="T717" s="22">
        <v>16.950000800000002</v>
      </c>
      <c r="U717" s="22">
        <v>17.299999199999998</v>
      </c>
      <c r="V717" s="22">
        <v>16.899999600000001</v>
      </c>
      <c r="W717" s="22">
        <v>17</v>
      </c>
      <c r="X717" s="22">
        <v>12.216262800000001</v>
      </c>
      <c r="Y717" s="22">
        <v>924400</v>
      </c>
      <c r="Z717" s="22">
        <v>5.9171600000000003E-3</v>
      </c>
    </row>
    <row r="718" spans="19:26" ht="16" x14ac:dyDescent="0.2">
      <c r="S718" s="23">
        <v>43178</v>
      </c>
      <c r="T718" s="22">
        <v>16.950000800000002</v>
      </c>
      <c r="U718" s="22">
        <v>17.25</v>
      </c>
      <c r="V718" s="22">
        <v>16.75</v>
      </c>
      <c r="W718" s="22">
        <v>17.25</v>
      </c>
      <c r="X718" s="22">
        <v>12.395916</v>
      </c>
      <c r="Y718" s="22">
        <v>777200</v>
      </c>
      <c r="Z718" s="22">
        <v>1.470607E-2</v>
      </c>
    </row>
    <row r="719" spans="19:26" ht="16" x14ac:dyDescent="0.2">
      <c r="S719" s="23">
        <v>43179</v>
      </c>
      <c r="T719" s="22">
        <v>17.299999199999998</v>
      </c>
      <c r="U719" s="22">
        <v>17.350000399999999</v>
      </c>
      <c r="V719" s="22">
        <v>17.200000800000002</v>
      </c>
      <c r="W719" s="22">
        <v>17.299999199999998</v>
      </c>
      <c r="X719" s="22">
        <v>12.431843799999999</v>
      </c>
      <c r="Y719" s="22">
        <v>476200</v>
      </c>
      <c r="Z719" s="22">
        <v>2.89836E-3</v>
      </c>
    </row>
    <row r="720" spans="19:26" ht="16" x14ac:dyDescent="0.2">
      <c r="S720" s="23">
        <v>43180</v>
      </c>
      <c r="T720" s="22">
        <v>17.25</v>
      </c>
      <c r="U720" s="22">
        <v>17.399999600000001</v>
      </c>
      <c r="V720" s="22">
        <v>17.049999199999998</v>
      </c>
      <c r="W720" s="22">
        <v>17.25</v>
      </c>
      <c r="X720" s="22">
        <v>12.395916</v>
      </c>
      <c r="Y720" s="22">
        <v>665300</v>
      </c>
      <c r="Z720" s="22">
        <v>-2.8900000000000002E-3</v>
      </c>
    </row>
    <row r="721" spans="19:26" ht="16" x14ac:dyDescent="0.2">
      <c r="S721" s="23">
        <v>43181</v>
      </c>
      <c r="T721" s="22">
        <v>17.25</v>
      </c>
      <c r="U721" s="22">
        <v>17.700000800000002</v>
      </c>
      <c r="V721" s="22">
        <v>17.100000399999999</v>
      </c>
      <c r="W721" s="22">
        <v>17.399999600000001</v>
      </c>
      <c r="X721" s="22">
        <v>12.503706899999999</v>
      </c>
      <c r="Y721" s="22">
        <v>384600</v>
      </c>
      <c r="Z721" s="22">
        <v>8.6956800000000008E-3</v>
      </c>
    </row>
    <row r="722" spans="19:26" ht="16" x14ac:dyDescent="0.2">
      <c r="S722" s="23">
        <v>43182</v>
      </c>
      <c r="T722" s="22">
        <v>17.399999600000001</v>
      </c>
      <c r="U722" s="22">
        <v>17.399999600000001</v>
      </c>
      <c r="V722" s="22">
        <v>16.950000800000002</v>
      </c>
      <c r="W722" s="22">
        <v>17</v>
      </c>
      <c r="X722" s="22">
        <v>12.216262800000001</v>
      </c>
      <c r="Y722" s="22">
        <v>1055300</v>
      </c>
      <c r="Z722" s="22">
        <v>-2.2988700000000001E-2</v>
      </c>
    </row>
    <row r="723" spans="19:26" ht="16" x14ac:dyDescent="0.2">
      <c r="S723" s="23">
        <v>43185</v>
      </c>
      <c r="T723" s="22">
        <v>17.100000399999999</v>
      </c>
      <c r="U723" s="22">
        <v>17.25</v>
      </c>
      <c r="V723" s="22">
        <v>16.899999600000001</v>
      </c>
      <c r="W723" s="22">
        <v>17.25</v>
      </c>
      <c r="X723" s="22">
        <v>12.395916</v>
      </c>
      <c r="Y723" s="22">
        <v>486900</v>
      </c>
      <c r="Z723" s="22">
        <v>1.470607E-2</v>
      </c>
    </row>
    <row r="724" spans="19:26" ht="16" x14ac:dyDescent="0.2">
      <c r="S724" s="23">
        <v>43186</v>
      </c>
      <c r="T724" s="22">
        <v>17.200000800000002</v>
      </c>
      <c r="U724" s="22">
        <v>17.350000399999999</v>
      </c>
      <c r="V724" s="22">
        <v>16.950000800000002</v>
      </c>
      <c r="W724" s="22">
        <v>17.049999199999998</v>
      </c>
      <c r="X724" s="22">
        <v>12.252193500000001</v>
      </c>
      <c r="Y724" s="22">
        <v>619200</v>
      </c>
      <c r="Z724" s="22">
        <v>-1.15943E-2</v>
      </c>
    </row>
    <row r="725" spans="19:26" ht="16" x14ac:dyDescent="0.2">
      <c r="S725" s="23">
        <v>43187</v>
      </c>
      <c r="T725" s="22">
        <v>17.149999600000001</v>
      </c>
      <c r="U725" s="22">
        <v>17.350000399999999</v>
      </c>
      <c r="V725" s="22">
        <v>17</v>
      </c>
      <c r="W725" s="22">
        <v>17.200000800000002</v>
      </c>
      <c r="X725" s="22">
        <v>12.3599844</v>
      </c>
      <c r="Y725" s="22">
        <v>1017300</v>
      </c>
      <c r="Z725" s="22">
        <v>8.7976900000000004E-3</v>
      </c>
    </row>
    <row r="726" spans="19:26" ht="16" x14ac:dyDescent="0.2">
      <c r="S726" s="23">
        <v>43188</v>
      </c>
      <c r="T726" s="22">
        <v>17.200000800000002</v>
      </c>
      <c r="U726" s="22">
        <v>17.399999600000001</v>
      </c>
      <c r="V726" s="22">
        <v>16.950000800000002</v>
      </c>
      <c r="W726" s="22">
        <v>17</v>
      </c>
      <c r="X726" s="22">
        <v>12.216262800000001</v>
      </c>
      <c r="Y726" s="22">
        <v>731400</v>
      </c>
      <c r="Z726" s="22">
        <v>-1.1627999999999999E-2</v>
      </c>
    </row>
    <row r="727" spans="19:26" ht="16" x14ac:dyDescent="0.2">
      <c r="S727" s="23">
        <v>43192</v>
      </c>
      <c r="T727" s="22">
        <v>17.049999199999998</v>
      </c>
      <c r="U727" s="22">
        <v>17.1800003</v>
      </c>
      <c r="V727" s="22">
        <v>16.75</v>
      </c>
      <c r="W727" s="22">
        <v>16.950000800000002</v>
      </c>
      <c r="X727" s="22">
        <v>12.1803322</v>
      </c>
      <c r="Y727" s="22">
        <v>583300</v>
      </c>
      <c r="Z727" s="22">
        <v>-2.9412000000000002E-3</v>
      </c>
    </row>
    <row r="728" spans="19:26" ht="16" x14ac:dyDescent="0.2">
      <c r="S728" s="23">
        <v>43193</v>
      </c>
      <c r="T728" s="22">
        <v>16.950000800000002</v>
      </c>
      <c r="U728" s="22">
        <v>17.200000800000002</v>
      </c>
      <c r="V728" s="22">
        <v>16.850000399999999</v>
      </c>
      <c r="W728" s="22">
        <v>17.100000399999999</v>
      </c>
      <c r="X728" s="22">
        <v>12.288125000000001</v>
      </c>
      <c r="Y728" s="22">
        <v>575200</v>
      </c>
      <c r="Z728" s="22">
        <v>8.84975E-3</v>
      </c>
    </row>
    <row r="729" spans="19:26" ht="16" x14ac:dyDescent="0.2">
      <c r="S729" s="23">
        <v>43194</v>
      </c>
      <c r="T729" s="22">
        <v>17</v>
      </c>
      <c r="U729" s="22">
        <v>17.299999199999998</v>
      </c>
      <c r="V729" s="22">
        <v>17</v>
      </c>
      <c r="W729" s="22">
        <v>17.200000800000002</v>
      </c>
      <c r="X729" s="22">
        <v>12.3599844</v>
      </c>
      <c r="Y729" s="22">
        <v>545300</v>
      </c>
      <c r="Z729" s="22">
        <v>5.8478699999999998E-3</v>
      </c>
    </row>
    <row r="730" spans="19:26" ht="16" x14ac:dyDescent="0.2">
      <c r="S730" s="23">
        <v>43195</v>
      </c>
      <c r="T730" s="22">
        <v>17.25</v>
      </c>
      <c r="U730" s="22">
        <v>17.450000800000002</v>
      </c>
      <c r="V730" s="22">
        <v>17.049999199999998</v>
      </c>
      <c r="W730" s="22">
        <v>17.350000399999999</v>
      </c>
      <c r="X730" s="22">
        <v>12.467776300000001</v>
      </c>
      <c r="Y730" s="22">
        <v>541600</v>
      </c>
      <c r="Z730" s="22">
        <v>8.7210399999999993E-3</v>
      </c>
    </row>
    <row r="731" spans="19:26" ht="16" x14ac:dyDescent="0.2">
      <c r="S731" s="23">
        <v>43196</v>
      </c>
      <c r="T731" s="22">
        <v>17.299999199999998</v>
      </c>
      <c r="U731" s="22">
        <v>17.450000800000002</v>
      </c>
      <c r="V731" s="22">
        <v>17.149999600000001</v>
      </c>
      <c r="W731" s="22">
        <v>17.25</v>
      </c>
      <c r="X731" s="22">
        <v>12.395916</v>
      </c>
      <c r="Y731" s="22">
        <v>724600</v>
      </c>
      <c r="Z731" s="22">
        <v>-5.7637000000000001E-3</v>
      </c>
    </row>
    <row r="732" spans="19:26" ht="16" x14ac:dyDescent="0.2">
      <c r="S732" s="23">
        <v>43199</v>
      </c>
      <c r="T732" s="22">
        <v>17.350000399999999</v>
      </c>
      <c r="U732" s="22">
        <v>17.520000499999998</v>
      </c>
      <c r="V732" s="22">
        <v>17.25</v>
      </c>
      <c r="W732" s="22">
        <v>17.5</v>
      </c>
      <c r="X732" s="22">
        <v>12.5755634</v>
      </c>
      <c r="Y732" s="22">
        <v>431200</v>
      </c>
      <c r="Z732" s="22">
        <v>1.449247E-2</v>
      </c>
    </row>
    <row r="733" spans="19:26" ht="16" x14ac:dyDescent="0.2">
      <c r="S733" s="23">
        <v>43200</v>
      </c>
      <c r="T733" s="22">
        <v>17.5</v>
      </c>
      <c r="U733" s="22">
        <v>17.5</v>
      </c>
      <c r="V733" s="22">
        <v>17.25</v>
      </c>
      <c r="W733" s="22">
        <v>17.299999199999998</v>
      </c>
      <c r="X733" s="22">
        <v>12.431843799999999</v>
      </c>
      <c r="Y733" s="22">
        <v>645500</v>
      </c>
      <c r="Z733" s="22">
        <v>-1.1428499999999999E-2</v>
      </c>
    </row>
    <row r="734" spans="19:26" ht="16" x14ac:dyDescent="0.2">
      <c r="S734" s="23">
        <v>43201</v>
      </c>
      <c r="T734" s="22">
        <v>17.350000399999999</v>
      </c>
      <c r="U734" s="22">
        <v>17.600000399999999</v>
      </c>
      <c r="V734" s="22">
        <v>17.200000800000002</v>
      </c>
      <c r="W734" s="22">
        <v>17.299999199999998</v>
      </c>
      <c r="X734" s="22">
        <v>12.431843799999999</v>
      </c>
      <c r="Y734" s="22">
        <v>365100</v>
      </c>
      <c r="Z734" s="22">
        <v>0</v>
      </c>
    </row>
    <row r="735" spans="19:26" ht="16" x14ac:dyDescent="0.2">
      <c r="S735" s="23">
        <v>43202</v>
      </c>
      <c r="T735" s="22">
        <v>17.25</v>
      </c>
      <c r="U735" s="22">
        <v>17.350000399999999</v>
      </c>
      <c r="V735" s="22">
        <v>16.950000800000002</v>
      </c>
      <c r="W735" s="22">
        <v>16.950000800000002</v>
      </c>
      <c r="X735" s="22">
        <v>12.1803322</v>
      </c>
      <c r="Y735" s="22">
        <v>371500</v>
      </c>
      <c r="Z735" s="22">
        <v>-2.0231200000000001E-2</v>
      </c>
    </row>
    <row r="736" spans="19:26" ht="16" x14ac:dyDescent="0.2">
      <c r="S736" s="23">
        <v>43203</v>
      </c>
      <c r="T736" s="22">
        <v>17.049999199999998</v>
      </c>
      <c r="U736" s="22">
        <v>17.25</v>
      </c>
      <c r="V736" s="22">
        <v>17</v>
      </c>
      <c r="W736" s="22">
        <v>17.100000399999999</v>
      </c>
      <c r="X736" s="22">
        <v>12.288125000000001</v>
      </c>
      <c r="Y736" s="22">
        <v>506300</v>
      </c>
      <c r="Z736" s="22">
        <v>8.84975E-3</v>
      </c>
    </row>
    <row r="737" spans="19:26" ht="16" x14ac:dyDescent="0.2">
      <c r="S737" s="23">
        <v>43206</v>
      </c>
      <c r="T737" s="22">
        <v>17.25</v>
      </c>
      <c r="U737" s="22">
        <v>17.700000800000002</v>
      </c>
      <c r="V737" s="22">
        <v>17.200000800000002</v>
      </c>
      <c r="W737" s="22">
        <v>17.450000800000002</v>
      </c>
      <c r="X737" s="22">
        <v>12.5396366</v>
      </c>
      <c r="Y737" s="22">
        <v>513800</v>
      </c>
      <c r="Z737" s="22">
        <v>2.0467860000000001E-2</v>
      </c>
    </row>
    <row r="738" spans="19:26" ht="16" x14ac:dyDescent="0.2">
      <c r="S738" s="23">
        <v>43207</v>
      </c>
      <c r="T738" s="22">
        <v>17.450000800000002</v>
      </c>
      <c r="U738" s="22">
        <v>17.700000800000002</v>
      </c>
      <c r="V738" s="22">
        <v>17.3799992</v>
      </c>
      <c r="W738" s="22">
        <v>17.649999600000001</v>
      </c>
      <c r="X738" s="22">
        <v>12.683355300000001</v>
      </c>
      <c r="Y738" s="22">
        <v>495300</v>
      </c>
      <c r="Z738" s="22">
        <v>1.146116E-2</v>
      </c>
    </row>
    <row r="739" spans="19:26" ht="16" x14ac:dyDescent="0.2">
      <c r="S739" s="23">
        <v>43208</v>
      </c>
      <c r="T739" s="22">
        <v>17.700000800000002</v>
      </c>
      <c r="U739" s="22">
        <v>17.8799992</v>
      </c>
      <c r="V739" s="22">
        <v>17.600000399999999</v>
      </c>
      <c r="W739" s="22">
        <v>17.600000399999999</v>
      </c>
      <c r="X739" s="22">
        <v>12.6474276</v>
      </c>
      <c r="Y739" s="22">
        <v>331800</v>
      </c>
      <c r="Z739" s="22">
        <v>-2.8327000000000001E-3</v>
      </c>
    </row>
    <row r="740" spans="19:26" ht="16" x14ac:dyDescent="0.2">
      <c r="S740" s="23">
        <v>43209</v>
      </c>
      <c r="T740" s="22">
        <v>17.649999600000001</v>
      </c>
      <c r="U740" s="22">
        <v>17.75</v>
      </c>
      <c r="V740" s="22">
        <v>17.5</v>
      </c>
      <c r="W740" s="22">
        <v>17.649999600000001</v>
      </c>
      <c r="X740" s="22">
        <v>12.683355300000001</v>
      </c>
      <c r="Y740" s="22">
        <v>298400</v>
      </c>
      <c r="Z740" s="22">
        <v>2.8407200000000001E-3</v>
      </c>
    </row>
    <row r="741" spans="19:26" ht="16" x14ac:dyDescent="0.2">
      <c r="S741" s="23">
        <v>43210</v>
      </c>
      <c r="T741" s="22">
        <v>17.600000399999999</v>
      </c>
      <c r="U741" s="22">
        <v>17.799999199999998</v>
      </c>
      <c r="V741" s="22">
        <v>17.549999199999998</v>
      </c>
      <c r="W741" s="22">
        <v>17.649999600000001</v>
      </c>
      <c r="X741" s="22">
        <v>12.683355300000001</v>
      </c>
      <c r="Y741" s="22">
        <v>574000</v>
      </c>
      <c r="Z741" s="22">
        <v>0</v>
      </c>
    </row>
    <row r="742" spans="19:26" ht="16" x14ac:dyDescent="0.2">
      <c r="S742" s="23">
        <v>43213</v>
      </c>
      <c r="T742" s="22">
        <v>17.700000800000002</v>
      </c>
      <c r="U742" s="22">
        <v>17.8799992</v>
      </c>
      <c r="V742" s="22">
        <v>17.649999600000001</v>
      </c>
      <c r="W742" s="22">
        <v>17.75</v>
      </c>
      <c r="X742" s="22">
        <v>12.7552176</v>
      </c>
      <c r="Y742" s="22">
        <v>531500</v>
      </c>
      <c r="Z742" s="22">
        <v>5.6658699999999999E-3</v>
      </c>
    </row>
    <row r="743" spans="19:26" ht="16" x14ac:dyDescent="0.2">
      <c r="S743" s="23">
        <v>43214</v>
      </c>
      <c r="T743" s="22">
        <v>17.799999199999998</v>
      </c>
      <c r="U743" s="22">
        <v>18.100000399999999</v>
      </c>
      <c r="V743" s="22">
        <v>17.649999600000001</v>
      </c>
      <c r="W743" s="22">
        <v>17.799999199999998</v>
      </c>
      <c r="X743" s="22">
        <v>12.791146299999999</v>
      </c>
      <c r="Y743" s="22">
        <v>821400</v>
      </c>
      <c r="Z743" s="22">
        <v>2.81679E-3</v>
      </c>
    </row>
    <row r="744" spans="19:26" ht="16" x14ac:dyDescent="0.2">
      <c r="S744" s="23">
        <v>43215</v>
      </c>
      <c r="T744" s="22">
        <v>17.700000800000002</v>
      </c>
      <c r="U744" s="22">
        <v>17.799999199999998</v>
      </c>
      <c r="V744" s="22">
        <v>17.399999600000001</v>
      </c>
      <c r="W744" s="22">
        <v>17.649999600000001</v>
      </c>
      <c r="X744" s="22">
        <v>12.683355300000001</v>
      </c>
      <c r="Y744" s="22">
        <v>460700</v>
      </c>
      <c r="Z744" s="22">
        <v>-8.4270000000000005E-3</v>
      </c>
    </row>
    <row r="745" spans="19:26" ht="16" x14ac:dyDescent="0.2">
      <c r="S745" s="23">
        <v>43216</v>
      </c>
      <c r="T745" s="22">
        <v>17.75</v>
      </c>
      <c r="U745" s="22">
        <v>18.079999900000001</v>
      </c>
      <c r="V745" s="22">
        <v>17.700000800000002</v>
      </c>
      <c r="W745" s="22">
        <v>17.899999600000001</v>
      </c>
      <c r="X745" s="22">
        <v>12.8630095</v>
      </c>
      <c r="Y745" s="22">
        <v>564200</v>
      </c>
      <c r="Z745" s="22">
        <v>1.416456E-2</v>
      </c>
    </row>
    <row r="746" spans="19:26" ht="16" x14ac:dyDescent="0.2">
      <c r="S746" s="23">
        <v>43217</v>
      </c>
      <c r="T746" s="22">
        <v>17.850000399999999</v>
      </c>
      <c r="U746" s="22">
        <v>18</v>
      </c>
      <c r="V746" s="22">
        <v>17.799999199999998</v>
      </c>
      <c r="W746" s="22">
        <v>17.950000800000002</v>
      </c>
      <c r="X746" s="22">
        <v>12.898937200000001</v>
      </c>
      <c r="Y746" s="22">
        <v>414300</v>
      </c>
      <c r="Z746" s="22">
        <v>2.7931100000000001E-3</v>
      </c>
    </row>
    <row r="747" spans="19:26" ht="16" x14ac:dyDescent="0.2">
      <c r="S747" s="23">
        <v>43220</v>
      </c>
      <c r="T747" s="22">
        <v>18</v>
      </c>
      <c r="U747" s="22">
        <v>18.049999199999998</v>
      </c>
      <c r="V747" s="22">
        <v>17.799999199999998</v>
      </c>
      <c r="W747" s="22">
        <v>17.799999199999998</v>
      </c>
      <c r="X747" s="22">
        <v>12.791146299999999</v>
      </c>
      <c r="Y747" s="22">
        <v>386200</v>
      </c>
      <c r="Z747" s="22">
        <v>-8.3566000000000005E-3</v>
      </c>
    </row>
    <row r="748" spans="19:26" ht="16" x14ac:dyDescent="0.2">
      <c r="S748" s="23">
        <v>43221</v>
      </c>
      <c r="T748" s="22">
        <v>17.799999199999998</v>
      </c>
      <c r="U748" s="22">
        <v>17.850000399999999</v>
      </c>
      <c r="V748" s="22">
        <v>17.600000399999999</v>
      </c>
      <c r="W748" s="22">
        <v>17.799999199999998</v>
      </c>
      <c r="X748" s="22">
        <v>12.791146299999999</v>
      </c>
      <c r="Y748" s="22">
        <v>287200</v>
      </c>
      <c r="Z748" s="22">
        <v>0</v>
      </c>
    </row>
    <row r="749" spans="19:26" ht="16" x14ac:dyDescent="0.2">
      <c r="S749" s="23">
        <v>43222</v>
      </c>
      <c r="T749" s="22">
        <v>17.700000800000002</v>
      </c>
      <c r="U749" s="22">
        <v>17.829999900000001</v>
      </c>
      <c r="V749" s="22">
        <v>17.649999600000001</v>
      </c>
      <c r="W749" s="22">
        <v>17.75</v>
      </c>
      <c r="X749" s="22">
        <v>12.7552176</v>
      </c>
      <c r="Y749" s="22">
        <v>526200</v>
      </c>
      <c r="Z749" s="22">
        <v>-2.8089E-3</v>
      </c>
    </row>
    <row r="750" spans="19:26" ht="16" x14ac:dyDescent="0.2">
      <c r="S750" s="23">
        <v>43223</v>
      </c>
      <c r="T750" s="22">
        <v>17.950000800000002</v>
      </c>
      <c r="U750" s="22">
        <v>18.25</v>
      </c>
      <c r="V750" s="22">
        <v>17.600000399999999</v>
      </c>
      <c r="W750" s="22">
        <v>18.100000399999999</v>
      </c>
      <c r="X750" s="22">
        <v>13.0067282</v>
      </c>
      <c r="Y750" s="22">
        <v>550800</v>
      </c>
      <c r="Z750" s="22">
        <v>1.971825E-2</v>
      </c>
    </row>
    <row r="751" spans="19:26" ht="16" x14ac:dyDescent="0.2">
      <c r="S751" s="23">
        <v>43224</v>
      </c>
      <c r="T751" s="22">
        <v>18.200000800000002</v>
      </c>
      <c r="U751" s="22">
        <v>18.5</v>
      </c>
      <c r="V751" s="22">
        <v>18.149999600000001</v>
      </c>
      <c r="W751" s="22">
        <v>18.350000399999999</v>
      </c>
      <c r="X751" s="22">
        <v>13.1863823</v>
      </c>
      <c r="Y751" s="22">
        <v>406300</v>
      </c>
      <c r="Z751" s="22">
        <v>1.3812400000000001E-2</v>
      </c>
    </row>
    <row r="752" spans="19:26" ht="16" x14ac:dyDescent="0.2">
      <c r="S752" s="23">
        <v>43227</v>
      </c>
      <c r="T752" s="22">
        <v>18.299999199999998</v>
      </c>
      <c r="U752" s="22">
        <v>18.350000399999999</v>
      </c>
      <c r="V752" s="22">
        <v>18</v>
      </c>
      <c r="W752" s="22">
        <v>18.350000399999999</v>
      </c>
      <c r="X752" s="22">
        <v>13.1863823</v>
      </c>
      <c r="Y752" s="22">
        <v>1120700</v>
      </c>
      <c r="Z752" s="22">
        <v>0</v>
      </c>
    </row>
    <row r="753" spans="19:26" ht="16" x14ac:dyDescent="0.2">
      <c r="S753" s="23">
        <v>43228</v>
      </c>
      <c r="T753" s="22">
        <v>18.299999199999998</v>
      </c>
      <c r="U753" s="22">
        <v>18.350000399999999</v>
      </c>
      <c r="V753" s="22">
        <v>17.649999600000001</v>
      </c>
      <c r="W753" s="22">
        <v>17.649999600000001</v>
      </c>
      <c r="X753" s="22">
        <v>12.683355300000001</v>
      </c>
      <c r="Y753" s="22">
        <v>1040600</v>
      </c>
      <c r="Z753" s="22">
        <v>-3.8147500000000001E-2</v>
      </c>
    </row>
    <row r="754" spans="19:26" ht="16" x14ac:dyDescent="0.2">
      <c r="S754" s="23">
        <v>43229</v>
      </c>
      <c r="T754" s="22">
        <v>17.700000800000002</v>
      </c>
      <c r="U754" s="22">
        <v>17.799999199999998</v>
      </c>
      <c r="V754" s="22">
        <v>17.399999600000001</v>
      </c>
      <c r="W754" s="22">
        <v>17.5</v>
      </c>
      <c r="X754" s="22">
        <v>12.5755634</v>
      </c>
      <c r="Y754" s="22">
        <v>777100</v>
      </c>
      <c r="Z754" s="22">
        <v>-8.4986999999999997E-3</v>
      </c>
    </row>
    <row r="755" spans="19:26" ht="16" x14ac:dyDescent="0.2">
      <c r="S755" s="23">
        <v>43230</v>
      </c>
      <c r="T755" s="22">
        <v>17.600000399999999</v>
      </c>
      <c r="U755" s="22">
        <v>17.950000800000002</v>
      </c>
      <c r="V755" s="22">
        <v>17.5</v>
      </c>
      <c r="W755" s="22">
        <v>17.850000399999999</v>
      </c>
      <c r="X755" s="22">
        <v>12.827077900000001</v>
      </c>
      <c r="Y755" s="22">
        <v>455400</v>
      </c>
      <c r="Z755" s="22">
        <v>2.0000250000000001E-2</v>
      </c>
    </row>
    <row r="756" spans="19:26" ht="16" x14ac:dyDescent="0.2">
      <c r="S756" s="23">
        <v>43231</v>
      </c>
      <c r="T756" s="22">
        <v>17.799999199999998</v>
      </c>
      <c r="U756" s="22">
        <v>17.899999600000001</v>
      </c>
      <c r="V756" s="22">
        <v>17.75</v>
      </c>
      <c r="W756" s="22">
        <v>17.75</v>
      </c>
      <c r="X756" s="22">
        <v>12.7552176</v>
      </c>
      <c r="Y756" s="22">
        <v>212400</v>
      </c>
      <c r="Z756" s="22">
        <v>-5.6021999999999999E-3</v>
      </c>
    </row>
    <row r="757" spans="19:26" ht="16" x14ac:dyDescent="0.2">
      <c r="S757" s="23">
        <v>43234</v>
      </c>
      <c r="T757" s="22">
        <v>17.799999199999998</v>
      </c>
      <c r="U757" s="22">
        <v>17.899999600000001</v>
      </c>
      <c r="V757" s="22">
        <v>17.700000800000002</v>
      </c>
      <c r="W757" s="22">
        <v>17.799999199999998</v>
      </c>
      <c r="X757" s="22">
        <v>12.791146299999999</v>
      </c>
      <c r="Y757" s="22">
        <v>478700</v>
      </c>
      <c r="Z757" s="22">
        <v>2.81679E-3</v>
      </c>
    </row>
    <row r="758" spans="19:26" ht="16" x14ac:dyDescent="0.2">
      <c r="S758" s="23">
        <v>43235</v>
      </c>
      <c r="T758" s="22">
        <v>17.700000800000002</v>
      </c>
      <c r="U758" s="22">
        <v>17.829999900000001</v>
      </c>
      <c r="V758" s="22">
        <v>17.450000800000002</v>
      </c>
      <c r="W758" s="22">
        <v>17.649999600000001</v>
      </c>
      <c r="X758" s="22">
        <v>12.683355300000001</v>
      </c>
      <c r="Y758" s="22">
        <v>508400</v>
      </c>
      <c r="Z758" s="22">
        <v>-8.4270000000000005E-3</v>
      </c>
    </row>
    <row r="759" spans="19:26" ht="16" x14ac:dyDescent="0.2">
      <c r="S759" s="23">
        <v>43236</v>
      </c>
      <c r="T759" s="22">
        <v>17.700000800000002</v>
      </c>
      <c r="U759" s="22">
        <v>17.799999199999998</v>
      </c>
      <c r="V759" s="22">
        <v>17.5</v>
      </c>
      <c r="W759" s="22">
        <v>17.549999199999998</v>
      </c>
      <c r="X759" s="22">
        <v>12.6114979</v>
      </c>
      <c r="Y759" s="22">
        <v>320600</v>
      </c>
      <c r="Z759" s="22">
        <v>-5.6655000000000004E-3</v>
      </c>
    </row>
    <row r="760" spans="19:26" ht="16" x14ac:dyDescent="0.2">
      <c r="S760" s="23">
        <v>43237</v>
      </c>
      <c r="T760" s="22">
        <v>17.649999600000001</v>
      </c>
      <c r="U760" s="22">
        <v>17.649999600000001</v>
      </c>
      <c r="V760" s="22">
        <v>17.329999900000001</v>
      </c>
      <c r="W760" s="22">
        <v>17.399999600000001</v>
      </c>
      <c r="X760" s="22">
        <v>12.503706899999999</v>
      </c>
      <c r="Y760" s="22">
        <v>552700</v>
      </c>
      <c r="Z760" s="22">
        <v>-8.5470000000000008E-3</v>
      </c>
    </row>
    <row r="761" spans="19:26" ht="16" x14ac:dyDescent="0.2">
      <c r="S761" s="23">
        <v>43238</v>
      </c>
      <c r="T761" s="22">
        <v>17.399999600000001</v>
      </c>
      <c r="U761" s="22">
        <v>17.549999199999998</v>
      </c>
      <c r="V761" s="22">
        <v>17.299999199999998</v>
      </c>
      <c r="W761" s="22">
        <v>17.5</v>
      </c>
      <c r="X761" s="22">
        <v>12.5755634</v>
      </c>
      <c r="Y761" s="22">
        <v>536000</v>
      </c>
      <c r="Z761" s="22">
        <v>5.7468199999999997E-3</v>
      </c>
    </row>
    <row r="762" spans="19:26" ht="16" x14ac:dyDescent="0.2">
      <c r="S762" s="23">
        <v>43241</v>
      </c>
      <c r="T762" s="22">
        <v>17.5</v>
      </c>
      <c r="U762" s="22">
        <v>17.700000800000002</v>
      </c>
      <c r="V762" s="22">
        <v>17.399999600000001</v>
      </c>
      <c r="W762" s="22">
        <v>17.549999199999998</v>
      </c>
      <c r="X762" s="22">
        <v>12.6114979</v>
      </c>
      <c r="Y762" s="22">
        <v>439800</v>
      </c>
      <c r="Z762" s="22">
        <v>2.8574799999999999E-3</v>
      </c>
    </row>
    <row r="763" spans="19:26" ht="16" x14ac:dyDescent="0.2">
      <c r="S763" s="23">
        <v>43242</v>
      </c>
      <c r="T763" s="22">
        <v>17.649999600000001</v>
      </c>
      <c r="U763" s="22">
        <v>17.850000399999999</v>
      </c>
      <c r="V763" s="22">
        <v>17.549999199999998</v>
      </c>
      <c r="W763" s="22">
        <v>17.600000399999999</v>
      </c>
      <c r="X763" s="22">
        <v>12.6474276</v>
      </c>
      <c r="Y763" s="22">
        <v>1035200</v>
      </c>
      <c r="Z763" s="22">
        <v>2.8489600000000002E-3</v>
      </c>
    </row>
    <row r="764" spans="19:26" ht="16" x14ac:dyDescent="0.2">
      <c r="S764" s="23">
        <v>43243</v>
      </c>
      <c r="T764" s="22">
        <v>17.649999600000001</v>
      </c>
      <c r="U764" s="22">
        <v>17.850000399999999</v>
      </c>
      <c r="V764" s="22">
        <v>17.600000399999999</v>
      </c>
      <c r="W764" s="22">
        <v>17.649999600000001</v>
      </c>
      <c r="X764" s="22">
        <v>12.683355300000001</v>
      </c>
      <c r="Y764" s="22">
        <v>510000</v>
      </c>
      <c r="Z764" s="22">
        <v>2.8407200000000001E-3</v>
      </c>
    </row>
    <row r="765" spans="19:26" ht="16" x14ac:dyDescent="0.2">
      <c r="S765" s="23">
        <v>43244</v>
      </c>
      <c r="T765" s="22">
        <v>17.75</v>
      </c>
      <c r="U765" s="22">
        <v>18</v>
      </c>
      <c r="V765" s="22">
        <v>17.649999600000001</v>
      </c>
      <c r="W765" s="22">
        <v>17.850000399999999</v>
      </c>
      <c r="X765" s="22">
        <v>12.827077900000001</v>
      </c>
      <c r="Y765" s="22">
        <v>614900</v>
      </c>
      <c r="Z765" s="22">
        <v>1.1331590000000001E-2</v>
      </c>
    </row>
    <row r="766" spans="19:26" ht="16" x14ac:dyDescent="0.2">
      <c r="S766" s="23">
        <v>43245</v>
      </c>
      <c r="T766" s="22">
        <v>17.850000399999999</v>
      </c>
      <c r="U766" s="22">
        <v>18.149999600000001</v>
      </c>
      <c r="V766" s="22">
        <v>17.850000399999999</v>
      </c>
      <c r="W766" s="22">
        <v>18</v>
      </c>
      <c r="X766" s="22">
        <v>12.9348698</v>
      </c>
      <c r="Y766" s="22">
        <v>739500</v>
      </c>
      <c r="Z766" s="22">
        <v>8.4034699999999997E-3</v>
      </c>
    </row>
    <row r="767" spans="19:26" ht="16" x14ac:dyDescent="0.2">
      <c r="S767" s="23">
        <v>43249</v>
      </c>
      <c r="T767" s="22">
        <v>17.899999600000001</v>
      </c>
      <c r="U767" s="22">
        <v>18.200000800000002</v>
      </c>
      <c r="V767" s="22">
        <v>17.799999199999998</v>
      </c>
      <c r="W767" s="22">
        <v>17.950000800000002</v>
      </c>
      <c r="X767" s="22">
        <v>12.898937200000001</v>
      </c>
      <c r="Y767" s="22">
        <v>1094000</v>
      </c>
      <c r="Z767" s="22">
        <v>-2.7780000000000001E-3</v>
      </c>
    </row>
    <row r="768" spans="19:26" ht="16" x14ac:dyDescent="0.2">
      <c r="S768" s="23">
        <v>43250</v>
      </c>
      <c r="T768" s="22">
        <v>17.899999600000001</v>
      </c>
      <c r="U768" s="22">
        <v>18.100000399999999</v>
      </c>
      <c r="V768" s="22">
        <v>17.850000399999999</v>
      </c>
      <c r="W768" s="22">
        <v>17.950000800000002</v>
      </c>
      <c r="X768" s="22">
        <v>12.898937200000001</v>
      </c>
      <c r="Y768" s="22">
        <v>1143300</v>
      </c>
      <c r="Z768" s="22">
        <v>0</v>
      </c>
    </row>
    <row r="769" spans="19:26" ht="16" x14ac:dyDescent="0.2">
      <c r="S769" s="23">
        <v>43251</v>
      </c>
      <c r="T769" s="22">
        <v>17.600000399999999</v>
      </c>
      <c r="U769" s="22">
        <v>17.700000800000002</v>
      </c>
      <c r="V769" s="22">
        <v>17.5</v>
      </c>
      <c r="W769" s="22">
        <v>17.5</v>
      </c>
      <c r="X769" s="22">
        <v>12.795842199999999</v>
      </c>
      <c r="Y769" s="22">
        <v>828700</v>
      </c>
      <c r="Z769" s="22">
        <v>-7.9924999999999996E-3</v>
      </c>
    </row>
    <row r="770" spans="19:26" ht="16" x14ac:dyDescent="0.2">
      <c r="S770" s="23">
        <v>43252</v>
      </c>
      <c r="T770" s="22">
        <v>17.5</v>
      </c>
      <c r="U770" s="22">
        <v>17.600000399999999</v>
      </c>
      <c r="V770" s="22">
        <v>17.100000399999999</v>
      </c>
      <c r="W770" s="22">
        <v>17.200000800000002</v>
      </c>
      <c r="X770" s="22">
        <v>12.5764847</v>
      </c>
      <c r="Y770" s="22">
        <v>416600</v>
      </c>
      <c r="Z770" s="22">
        <v>-1.7142899999999999E-2</v>
      </c>
    </row>
    <row r="771" spans="19:26" ht="16" x14ac:dyDescent="0.2">
      <c r="S771" s="23">
        <v>43255</v>
      </c>
      <c r="T771" s="22">
        <v>17.25</v>
      </c>
      <c r="U771" s="22">
        <v>17.549999199999998</v>
      </c>
      <c r="V771" s="22">
        <v>17.200000800000002</v>
      </c>
      <c r="W771" s="22">
        <v>17.5</v>
      </c>
      <c r="X771" s="22">
        <v>12.795842199999999</v>
      </c>
      <c r="Y771" s="22">
        <v>905800</v>
      </c>
      <c r="Z771" s="22">
        <v>1.744188E-2</v>
      </c>
    </row>
    <row r="772" spans="19:26" ht="16" x14ac:dyDescent="0.2">
      <c r="S772" s="23">
        <v>43256</v>
      </c>
      <c r="T772" s="22">
        <v>17.549999199999998</v>
      </c>
      <c r="U772" s="22">
        <v>17.549999199999998</v>
      </c>
      <c r="V772" s="22">
        <v>17.149999600000001</v>
      </c>
      <c r="W772" s="22">
        <v>17.25</v>
      </c>
      <c r="X772" s="22">
        <v>12.613041900000001</v>
      </c>
      <c r="Y772" s="22">
        <v>406700</v>
      </c>
      <c r="Z772" s="22">
        <v>-1.4285900000000001E-2</v>
      </c>
    </row>
    <row r="773" spans="19:26" ht="16" x14ac:dyDescent="0.2">
      <c r="S773" s="23">
        <v>43257</v>
      </c>
      <c r="T773" s="22">
        <v>17.25</v>
      </c>
      <c r="U773" s="22">
        <v>17.350000399999999</v>
      </c>
      <c r="V773" s="22">
        <v>17.049999199999998</v>
      </c>
      <c r="W773" s="22">
        <v>17.100000399999999</v>
      </c>
      <c r="X773" s="22">
        <v>12.5033665</v>
      </c>
      <c r="Y773" s="22">
        <v>576400</v>
      </c>
      <c r="Z773" s="22">
        <v>-8.6954000000000007E-3</v>
      </c>
    </row>
    <row r="774" spans="19:26" ht="16" x14ac:dyDescent="0.2">
      <c r="S774" s="23">
        <v>43258</v>
      </c>
      <c r="T774" s="22">
        <v>17.149999600000001</v>
      </c>
      <c r="U774" s="22">
        <v>17.350000399999999</v>
      </c>
      <c r="V774" s="22">
        <v>17.149999600000001</v>
      </c>
      <c r="W774" s="22">
        <v>17.149999600000001</v>
      </c>
      <c r="X774" s="22">
        <v>12.5399218</v>
      </c>
      <c r="Y774" s="22">
        <v>535700</v>
      </c>
      <c r="Z774" s="22">
        <v>2.9236399999999999E-3</v>
      </c>
    </row>
    <row r="775" spans="19:26" ht="16" x14ac:dyDescent="0.2">
      <c r="S775" s="23">
        <v>43259</v>
      </c>
      <c r="T775" s="22">
        <v>17.149999600000001</v>
      </c>
      <c r="U775" s="22">
        <v>17.25</v>
      </c>
      <c r="V775" s="22">
        <v>17</v>
      </c>
      <c r="W775" s="22">
        <v>17.049999199999998</v>
      </c>
      <c r="X775" s="22">
        <v>12.4668016</v>
      </c>
      <c r="Y775" s="22">
        <v>597600</v>
      </c>
      <c r="Z775" s="22">
        <v>-5.8310000000000002E-3</v>
      </c>
    </row>
    <row r="776" spans="19:26" ht="16" x14ac:dyDescent="0.2">
      <c r="S776" s="23">
        <v>43262</v>
      </c>
      <c r="T776" s="22">
        <v>17.149999600000001</v>
      </c>
      <c r="U776" s="22">
        <v>17.299999199999998</v>
      </c>
      <c r="V776" s="22">
        <v>17.100000399999999</v>
      </c>
      <c r="W776" s="22">
        <v>17.200000800000002</v>
      </c>
      <c r="X776" s="22">
        <v>12.5764847</v>
      </c>
      <c r="Y776" s="22">
        <v>294100</v>
      </c>
      <c r="Z776" s="22">
        <v>8.7980100000000002E-3</v>
      </c>
    </row>
    <row r="777" spans="19:26" ht="16" x14ac:dyDescent="0.2">
      <c r="S777" s="23">
        <v>43263</v>
      </c>
      <c r="T777" s="22">
        <v>17.200000800000002</v>
      </c>
      <c r="U777" s="22">
        <v>17.649999600000001</v>
      </c>
      <c r="V777" s="22">
        <v>17.200000800000002</v>
      </c>
      <c r="W777" s="22">
        <v>17.600000399999999</v>
      </c>
      <c r="X777" s="22">
        <v>12.8689594</v>
      </c>
      <c r="Y777" s="22">
        <v>732400</v>
      </c>
      <c r="Z777" s="22">
        <v>2.3255680000000001E-2</v>
      </c>
    </row>
    <row r="778" spans="19:26" ht="16" x14ac:dyDescent="0.2">
      <c r="S778" s="23">
        <v>43264</v>
      </c>
      <c r="T778" s="22">
        <v>17.549999199999998</v>
      </c>
      <c r="U778" s="22">
        <v>17.700000800000002</v>
      </c>
      <c r="V778" s="22">
        <v>17.450000800000002</v>
      </c>
      <c r="W778" s="22">
        <v>17.549999199999998</v>
      </c>
      <c r="X778" s="22">
        <v>12.832401300000001</v>
      </c>
      <c r="Y778" s="22">
        <v>465400</v>
      </c>
      <c r="Z778" s="22">
        <v>-2.8408000000000001E-3</v>
      </c>
    </row>
    <row r="779" spans="19:26" ht="16" x14ac:dyDescent="0.2">
      <c r="S779" s="23">
        <v>43265</v>
      </c>
      <c r="T779" s="22">
        <v>17.549999199999998</v>
      </c>
      <c r="U779" s="22">
        <v>17.649999600000001</v>
      </c>
      <c r="V779" s="22">
        <v>17.299999199999998</v>
      </c>
      <c r="W779" s="22">
        <v>17.350000399999999</v>
      </c>
      <c r="X779" s="22">
        <v>12.686161</v>
      </c>
      <c r="Y779" s="22">
        <v>1544000</v>
      </c>
      <c r="Z779" s="22">
        <v>-1.13962E-2</v>
      </c>
    </row>
    <row r="780" spans="19:26" ht="16" x14ac:dyDescent="0.2">
      <c r="S780" s="23">
        <v>43266</v>
      </c>
      <c r="T780" s="22">
        <v>17.299999199999998</v>
      </c>
      <c r="U780" s="22">
        <v>17.450000800000002</v>
      </c>
      <c r="V780" s="22">
        <v>17.200000800000002</v>
      </c>
      <c r="W780" s="22">
        <v>17.25</v>
      </c>
      <c r="X780" s="22">
        <v>12.613041900000001</v>
      </c>
      <c r="Y780" s="22">
        <v>1092000</v>
      </c>
      <c r="Z780" s="22">
        <v>-5.7637000000000001E-3</v>
      </c>
    </row>
    <row r="781" spans="19:26" ht="16" x14ac:dyDescent="0.2">
      <c r="S781" s="23">
        <v>43269</v>
      </c>
      <c r="T781" s="22">
        <v>17.25</v>
      </c>
      <c r="U781" s="22">
        <v>17.5</v>
      </c>
      <c r="V781" s="22">
        <v>17.25</v>
      </c>
      <c r="W781" s="22">
        <v>17.399999600000001</v>
      </c>
      <c r="X781" s="22">
        <v>12.722721099999999</v>
      </c>
      <c r="Y781" s="22">
        <v>566600</v>
      </c>
      <c r="Z781" s="22">
        <v>8.6957000000000007E-3</v>
      </c>
    </row>
    <row r="782" spans="19:26" ht="16" x14ac:dyDescent="0.2">
      <c r="S782" s="23">
        <v>43270</v>
      </c>
      <c r="T782" s="22">
        <v>17.299999199999998</v>
      </c>
      <c r="U782" s="22">
        <v>17.3799992</v>
      </c>
      <c r="V782" s="22">
        <v>16.600000399999999</v>
      </c>
      <c r="W782" s="22">
        <v>17.25</v>
      </c>
      <c r="X782" s="22">
        <v>12.613041900000001</v>
      </c>
      <c r="Y782" s="22">
        <v>1018400</v>
      </c>
      <c r="Z782" s="22">
        <v>-8.6207000000000002E-3</v>
      </c>
    </row>
    <row r="783" spans="19:26" ht="16" x14ac:dyDescent="0.2">
      <c r="S783" s="23">
        <v>43271</v>
      </c>
      <c r="T783" s="22">
        <v>17.299999199999998</v>
      </c>
      <c r="U783" s="22">
        <v>17.299999199999998</v>
      </c>
      <c r="V783" s="22">
        <v>16.850000399999999</v>
      </c>
      <c r="W783" s="22">
        <v>17</v>
      </c>
      <c r="X783" s="22">
        <v>12.430244399999999</v>
      </c>
      <c r="Y783" s="22">
        <v>769000</v>
      </c>
      <c r="Z783" s="22">
        <v>-1.4492700000000001E-2</v>
      </c>
    </row>
    <row r="784" spans="19:26" ht="16" x14ac:dyDescent="0.2">
      <c r="S784" s="23">
        <v>43272</v>
      </c>
      <c r="T784" s="22">
        <v>17</v>
      </c>
      <c r="U784" s="22">
        <v>17.100000399999999</v>
      </c>
      <c r="V784" s="22">
        <v>16.799999199999998</v>
      </c>
      <c r="W784" s="22">
        <v>16.950000800000002</v>
      </c>
      <c r="X784" s="22">
        <v>12.3936844</v>
      </c>
      <c r="Y784" s="22">
        <v>700700</v>
      </c>
      <c r="Z784" s="22">
        <v>-2.9412000000000002E-3</v>
      </c>
    </row>
    <row r="785" spans="19:26" ht="16" x14ac:dyDescent="0.2">
      <c r="S785" s="23">
        <v>43273</v>
      </c>
      <c r="T785" s="22">
        <v>17</v>
      </c>
      <c r="U785" s="22">
        <v>17.299999199999998</v>
      </c>
      <c r="V785" s="22">
        <v>16.950000800000002</v>
      </c>
      <c r="W785" s="22">
        <v>17.200000800000002</v>
      </c>
      <c r="X785" s="22">
        <v>12.5764847</v>
      </c>
      <c r="Y785" s="22">
        <v>544800</v>
      </c>
      <c r="Z785" s="22">
        <v>1.4749470000000001E-2</v>
      </c>
    </row>
    <row r="786" spans="19:26" ht="16" x14ac:dyDescent="0.2">
      <c r="S786" s="23">
        <v>43276</v>
      </c>
      <c r="T786" s="22">
        <v>17.200000800000002</v>
      </c>
      <c r="U786" s="22">
        <v>17.450000800000002</v>
      </c>
      <c r="V786" s="22">
        <v>17.149999600000001</v>
      </c>
      <c r="W786" s="22">
        <v>17.350000399999999</v>
      </c>
      <c r="X786" s="22">
        <v>12.686161</v>
      </c>
      <c r="Y786" s="22">
        <v>346600</v>
      </c>
      <c r="Z786" s="22">
        <v>8.7207499999999993E-3</v>
      </c>
    </row>
    <row r="787" spans="19:26" ht="16" x14ac:dyDescent="0.2">
      <c r="S787" s="23">
        <v>43277</v>
      </c>
      <c r="T787" s="22">
        <v>17.25</v>
      </c>
      <c r="U787" s="22">
        <v>17.549999199999998</v>
      </c>
      <c r="V787" s="22">
        <v>17.209999100000001</v>
      </c>
      <c r="W787" s="22">
        <v>17.399999600000001</v>
      </c>
      <c r="X787" s="22">
        <v>12.722721099999999</v>
      </c>
      <c r="Y787" s="22">
        <v>449000</v>
      </c>
      <c r="Z787" s="22">
        <v>2.8818899999999998E-3</v>
      </c>
    </row>
    <row r="788" spans="19:26" ht="16" x14ac:dyDescent="0.2">
      <c r="S788" s="23">
        <v>43278</v>
      </c>
      <c r="T788" s="22">
        <v>17.399999600000001</v>
      </c>
      <c r="U788" s="22">
        <v>17.450000800000002</v>
      </c>
      <c r="V788" s="22">
        <v>17.200000800000002</v>
      </c>
      <c r="W788" s="22">
        <v>17.299999199999998</v>
      </c>
      <c r="X788" s="22">
        <v>12.649601000000001</v>
      </c>
      <c r="Y788" s="22">
        <v>396400</v>
      </c>
      <c r="Z788" s="22">
        <v>-5.7472000000000001E-3</v>
      </c>
    </row>
    <row r="789" spans="19:26" ht="16" x14ac:dyDescent="0.2">
      <c r="S789" s="23">
        <v>43279</v>
      </c>
      <c r="T789" s="22">
        <v>17.299999199999998</v>
      </c>
      <c r="U789" s="22">
        <v>17.399999600000001</v>
      </c>
      <c r="V789" s="22">
        <v>17.25</v>
      </c>
      <c r="W789" s="22">
        <v>17.299999199999998</v>
      </c>
      <c r="X789" s="22">
        <v>12.649601000000001</v>
      </c>
      <c r="Y789" s="22">
        <v>347100</v>
      </c>
      <c r="Z789" s="22">
        <v>0</v>
      </c>
    </row>
    <row r="790" spans="19:26" ht="16" x14ac:dyDescent="0.2">
      <c r="S790" s="23">
        <v>43280</v>
      </c>
      <c r="T790" s="22">
        <v>17.25</v>
      </c>
      <c r="U790" s="22">
        <v>17.399999600000001</v>
      </c>
      <c r="V790" s="22">
        <v>17.149999600000001</v>
      </c>
      <c r="W790" s="22">
        <v>17.200000800000002</v>
      </c>
      <c r="X790" s="22">
        <v>12.5764847</v>
      </c>
      <c r="Y790" s="22">
        <v>352000</v>
      </c>
      <c r="Z790" s="22">
        <v>-5.7800999999999998E-3</v>
      </c>
    </row>
    <row r="791" spans="19:26" ht="16" x14ac:dyDescent="0.2">
      <c r="S791" s="23">
        <v>43283</v>
      </c>
      <c r="T791" s="22">
        <v>17.25</v>
      </c>
      <c r="U791" s="22">
        <v>17.399999600000001</v>
      </c>
      <c r="V791" s="22">
        <v>17.100000399999999</v>
      </c>
      <c r="W791" s="22">
        <v>17.350000399999999</v>
      </c>
      <c r="X791" s="22">
        <v>12.686161</v>
      </c>
      <c r="Y791" s="22">
        <v>241500</v>
      </c>
      <c r="Z791" s="22">
        <v>8.7207499999999993E-3</v>
      </c>
    </row>
    <row r="792" spans="19:26" ht="16" x14ac:dyDescent="0.2">
      <c r="S792" s="23">
        <v>43284</v>
      </c>
      <c r="T792" s="22">
        <v>17.350000399999999</v>
      </c>
      <c r="U792" s="22">
        <v>17.700000800000002</v>
      </c>
      <c r="V792" s="22">
        <v>17.299999199999998</v>
      </c>
      <c r="W792" s="22">
        <v>17.549999199999998</v>
      </c>
      <c r="X792" s="22">
        <v>12.832401300000001</v>
      </c>
      <c r="Y792" s="22">
        <v>181500</v>
      </c>
      <c r="Z792" s="22">
        <v>1.1527539999999999E-2</v>
      </c>
    </row>
    <row r="793" spans="19:26" ht="16" x14ac:dyDescent="0.2">
      <c r="S793" s="23">
        <v>43286</v>
      </c>
      <c r="T793" s="22">
        <v>17.549999199999998</v>
      </c>
      <c r="U793" s="22">
        <v>17.649999600000001</v>
      </c>
      <c r="V793" s="22">
        <v>17.549999199999998</v>
      </c>
      <c r="W793" s="22">
        <v>17.600000399999999</v>
      </c>
      <c r="X793" s="22">
        <v>12.8689594</v>
      </c>
      <c r="Y793" s="22">
        <v>271500</v>
      </c>
      <c r="Z793" s="22">
        <v>2.8488900000000002E-3</v>
      </c>
    </row>
    <row r="794" spans="19:26" ht="16" x14ac:dyDescent="0.2">
      <c r="S794" s="23">
        <v>43287</v>
      </c>
      <c r="T794" s="22">
        <v>17.600000399999999</v>
      </c>
      <c r="U794" s="22">
        <v>17.950000800000002</v>
      </c>
      <c r="V794" s="22">
        <v>17.600000399999999</v>
      </c>
      <c r="W794" s="22">
        <v>17.850000399999999</v>
      </c>
      <c r="X794" s="22">
        <v>13.0517559</v>
      </c>
      <c r="Y794" s="22">
        <v>308100</v>
      </c>
      <c r="Z794" s="22">
        <v>1.420445E-2</v>
      </c>
    </row>
    <row r="795" spans="19:26" ht="16" x14ac:dyDescent="0.2">
      <c r="S795" s="23">
        <v>43290</v>
      </c>
      <c r="T795" s="22">
        <v>17.799999199999998</v>
      </c>
      <c r="U795" s="22">
        <v>17.8799992</v>
      </c>
      <c r="V795" s="22">
        <v>17.399999600000001</v>
      </c>
      <c r="W795" s="22">
        <v>17.450000800000002</v>
      </c>
      <c r="X795" s="22">
        <v>12.7592812</v>
      </c>
      <c r="Y795" s="22">
        <v>390200</v>
      </c>
      <c r="Z795" s="22">
        <v>-2.24088E-2</v>
      </c>
    </row>
    <row r="796" spans="19:26" ht="16" x14ac:dyDescent="0.2">
      <c r="S796" s="23">
        <v>43291</v>
      </c>
      <c r="T796" s="22">
        <v>17.399999600000001</v>
      </c>
      <c r="U796" s="22">
        <v>17.600000399999999</v>
      </c>
      <c r="V796" s="22">
        <v>17.399999600000001</v>
      </c>
      <c r="W796" s="22">
        <v>17.549999199999998</v>
      </c>
      <c r="X796" s="22">
        <v>12.832401300000001</v>
      </c>
      <c r="Y796" s="22">
        <v>427500</v>
      </c>
      <c r="Z796" s="22">
        <v>5.7307399999999998E-3</v>
      </c>
    </row>
    <row r="797" spans="19:26" ht="16" x14ac:dyDescent="0.2">
      <c r="S797" s="23">
        <v>43292</v>
      </c>
      <c r="T797" s="22">
        <v>17.5</v>
      </c>
      <c r="U797" s="22">
        <v>17.850000399999999</v>
      </c>
      <c r="V797" s="22">
        <v>17.450000800000002</v>
      </c>
      <c r="W797" s="22">
        <v>17.549999199999998</v>
      </c>
      <c r="X797" s="22">
        <v>12.832401300000001</v>
      </c>
      <c r="Y797" s="22">
        <v>298200</v>
      </c>
      <c r="Z797" s="22">
        <v>0</v>
      </c>
    </row>
    <row r="798" spans="19:26" ht="16" x14ac:dyDescent="0.2">
      <c r="S798" s="23">
        <v>43293</v>
      </c>
      <c r="T798" s="22">
        <v>17.649999600000001</v>
      </c>
      <c r="U798" s="22">
        <v>17.899999600000001</v>
      </c>
      <c r="V798" s="22">
        <v>17.399999600000001</v>
      </c>
      <c r="W798" s="22">
        <v>17.75</v>
      </c>
      <c r="X798" s="22">
        <v>12.9786386</v>
      </c>
      <c r="Y798" s="22">
        <v>603600</v>
      </c>
      <c r="Z798" s="22">
        <v>1.139595E-2</v>
      </c>
    </row>
    <row r="799" spans="19:26" ht="16" x14ac:dyDescent="0.2">
      <c r="S799" s="23">
        <v>43294</v>
      </c>
      <c r="T799" s="22">
        <v>17.75</v>
      </c>
      <c r="U799" s="22">
        <v>18.149999600000001</v>
      </c>
      <c r="V799" s="22">
        <v>17.75</v>
      </c>
      <c r="W799" s="22">
        <v>17.899999600000001</v>
      </c>
      <c r="X799" s="22">
        <v>13.088316900000001</v>
      </c>
      <c r="Y799" s="22">
        <v>856600</v>
      </c>
      <c r="Z799" s="22">
        <v>8.4506800000000003E-3</v>
      </c>
    </row>
    <row r="800" spans="19:26" ht="16" x14ac:dyDescent="0.2">
      <c r="S800" s="23">
        <v>43297</v>
      </c>
      <c r="T800" s="22">
        <v>18.049999199999998</v>
      </c>
      <c r="U800" s="22">
        <v>18.149999600000001</v>
      </c>
      <c r="V800" s="22">
        <v>17.8700008</v>
      </c>
      <c r="W800" s="22">
        <v>18.149999600000001</v>
      </c>
      <c r="X800" s="22">
        <v>13.2711153</v>
      </c>
      <c r="Y800" s="22">
        <v>364200</v>
      </c>
      <c r="Z800" s="22">
        <v>1.396653E-2</v>
      </c>
    </row>
    <row r="801" spans="19:26" ht="16" x14ac:dyDescent="0.2">
      <c r="S801" s="23">
        <v>43298</v>
      </c>
      <c r="T801" s="22">
        <v>18.149999600000001</v>
      </c>
      <c r="U801" s="22">
        <v>18.299999199999998</v>
      </c>
      <c r="V801" s="22">
        <v>18</v>
      </c>
      <c r="W801" s="22">
        <v>18.100000399999999</v>
      </c>
      <c r="X801" s="22">
        <v>13.234557199999999</v>
      </c>
      <c r="Y801" s="22">
        <v>400800</v>
      </c>
      <c r="Z801" s="22">
        <v>-2.7547000000000001E-3</v>
      </c>
    </row>
    <row r="802" spans="19:26" ht="16" x14ac:dyDescent="0.2">
      <c r="S802" s="23">
        <v>43299</v>
      </c>
      <c r="T802" s="22">
        <v>18</v>
      </c>
      <c r="U802" s="22">
        <v>18.100000399999999</v>
      </c>
      <c r="V802" s="22">
        <v>17.850000399999999</v>
      </c>
      <c r="W802" s="22">
        <v>17.950000800000002</v>
      </c>
      <c r="X802" s="22">
        <v>13.124878900000001</v>
      </c>
      <c r="Y802" s="22">
        <v>245400</v>
      </c>
      <c r="Z802" s="22">
        <v>-8.2872999999999992E-3</v>
      </c>
    </row>
    <row r="803" spans="19:26" ht="16" x14ac:dyDescent="0.2">
      <c r="S803" s="23">
        <v>43300</v>
      </c>
      <c r="T803" s="22">
        <v>18</v>
      </c>
      <c r="U803" s="22">
        <v>18.200000800000002</v>
      </c>
      <c r="V803" s="22">
        <v>18</v>
      </c>
      <c r="W803" s="22">
        <v>18.149999600000001</v>
      </c>
      <c r="X803" s="22">
        <v>13.2711153</v>
      </c>
      <c r="Y803" s="22">
        <v>428900</v>
      </c>
      <c r="Z803" s="22">
        <v>1.114193E-2</v>
      </c>
    </row>
    <row r="804" spans="19:26" ht="16" x14ac:dyDescent="0.2">
      <c r="S804" s="23">
        <v>43301</v>
      </c>
      <c r="T804" s="22">
        <v>18.149999600000001</v>
      </c>
      <c r="U804" s="22">
        <v>18.200000800000002</v>
      </c>
      <c r="V804" s="22">
        <v>17.8799992</v>
      </c>
      <c r="W804" s="22">
        <v>17.899999600000001</v>
      </c>
      <c r="X804" s="22">
        <v>13.088316900000001</v>
      </c>
      <c r="Y804" s="22">
        <v>422800</v>
      </c>
      <c r="Z804" s="22">
        <v>-1.37742E-2</v>
      </c>
    </row>
    <row r="805" spans="19:26" ht="16" x14ac:dyDescent="0.2">
      <c r="S805" s="23">
        <v>43304</v>
      </c>
      <c r="T805" s="22">
        <v>17.899999600000001</v>
      </c>
      <c r="U805" s="22">
        <v>18.049999199999998</v>
      </c>
      <c r="V805" s="22">
        <v>17.799999199999998</v>
      </c>
      <c r="W805" s="22">
        <v>18</v>
      </c>
      <c r="X805" s="22">
        <v>13.161438</v>
      </c>
      <c r="Y805" s="22">
        <v>344000</v>
      </c>
      <c r="Z805" s="22">
        <v>5.5867399999999998E-3</v>
      </c>
    </row>
    <row r="806" spans="19:26" ht="16" x14ac:dyDescent="0.2">
      <c r="S806" s="23">
        <v>43305</v>
      </c>
      <c r="T806" s="22">
        <v>17.950000800000002</v>
      </c>
      <c r="U806" s="22">
        <v>18</v>
      </c>
      <c r="V806" s="22">
        <v>17.75</v>
      </c>
      <c r="W806" s="22">
        <v>17.950000800000002</v>
      </c>
      <c r="X806" s="22">
        <v>13.124878900000001</v>
      </c>
      <c r="Y806" s="22">
        <v>297600</v>
      </c>
      <c r="Z806" s="22">
        <v>-2.7777000000000001E-3</v>
      </c>
    </row>
    <row r="807" spans="19:26" ht="16" x14ac:dyDescent="0.2">
      <c r="S807" s="23">
        <v>43306</v>
      </c>
      <c r="T807" s="22">
        <v>17.899999600000001</v>
      </c>
      <c r="U807" s="22">
        <v>18.049999199999998</v>
      </c>
      <c r="V807" s="22">
        <v>17.799999199999998</v>
      </c>
      <c r="W807" s="22">
        <v>17.850000399999999</v>
      </c>
      <c r="X807" s="22">
        <v>13.0517559</v>
      </c>
      <c r="Y807" s="22">
        <v>362900</v>
      </c>
      <c r="Z807" s="22">
        <v>-5.5713000000000004E-3</v>
      </c>
    </row>
    <row r="808" spans="19:26" ht="16" x14ac:dyDescent="0.2">
      <c r="S808" s="23">
        <v>43307</v>
      </c>
      <c r="T808" s="22">
        <v>17.950000800000002</v>
      </c>
      <c r="U808" s="22">
        <v>18.25</v>
      </c>
      <c r="V808" s="22">
        <v>17.950000800000002</v>
      </c>
      <c r="W808" s="22">
        <v>18.149999600000001</v>
      </c>
      <c r="X808" s="22">
        <v>13.2711153</v>
      </c>
      <c r="Y808" s="22">
        <v>714700</v>
      </c>
      <c r="Z808" s="22">
        <v>1.6806890000000001E-2</v>
      </c>
    </row>
    <row r="809" spans="19:26" ht="16" x14ac:dyDescent="0.2">
      <c r="S809" s="23">
        <v>43308</v>
      </c>
      <c r="T809" s="22">
        <v>18.149999600000001</v>
      </c>
      <c r="U809" s="22">
        <v>18.25</v>
      </c>
      <c r="V809" s="22">
        <v>17.899999600000001</v>
      </c>
      <c r="W809" s="22">
        <v>18.049999199999998</v>
      </c>
      <c r="X809" s="22">
        <v>13.1979942</v>
      </c>
      <c r="Y809" s="22">
        <v>381100</v>
      </c>
      <c r="Z809" s="22">
        <v>-5.5097999999999996E-3</v>
      </c>
    </row>
    <row r="810" spans="19:26" ht="16" x14ac:dyDescent="0.2">
      <c r="S810" s="23">
        <v>43311</v>
      </c>
      <c r="T810" s="22">
        <v>18.100000399999999</v>
      </c>
      <c r="U810" s="22">
        <v>18.399999600000001</v>
      </c>
      <c r="V810" s="22">
        <v>18.020000499999998</v>
      </c>
      <c r="W810" s="22">
        <v>18.200000800000002</v>
      </c>
      <c r="X810" s="22">
        <v>13.3076744</v>
      </c>
      <c r="Y810" s="22">
        <v>467900</v>
      </c>
      <c r="Z810" s="22">
        <v>8.3103699999999992E-3</v>
      </c>
    </row>
    <row r="811" spans="19:26" ht="16" x14ac:dyDescent="0.2">
      <c r="S811" s="23">
        <v>43312</v>
      </c>
      <c r="T811" s="22">
        <v>18.200000800000002</v>
      </c>
      <c r="U811" s="22">
        <v>18.700000800000002</v>
      </c>
      <c r="V811" s="22">
        <v>18.049999199999998</v>
      </c>
      <c r="W811" s="22">
        <v>18.600000399999999</v>
      </c>
      <c r="X811" s="22">
        <v>13.6001511</v>
      </c>
      <c r="Y811" s="22">
        <v>577000</v>
      </c>
      <c r="Z811" s="22">
        <v>2.1978040000000001E-2</v>
      </c>
    </row>
    <row r="812" spans="19:26" ht="16" x14ac:dyDescent="0.2">
      <c r="S812" s="23">
        <v>43313</v>
      </c>
      <c r="T812" s="22">
        <v>18.600000399999999</v>
      </c>
      <c r="U812" s="22">
        <v>18.600000399999999</v>
      </c>
      <c r="V812" s="22">
        <v>18.2600002</v>
      </c>
      <c r="W812" s="22">
        <v>18.450000800000002</v>
      </c>
      <c r="X812" s="22">
        <v>13.4904718</v>
      </c>
      <c r="Y812" s="22">
        <v>473400</v>
      </c>
      <c r="Z812" s="22">
        <v>-8.0645999999999999E-3</v>
      </c>
    </row>
    <row r="813" spans="19:26" ht="16" x14ac:dyDescent="0.2">
      <c r="S813" s="23">
        <v>43314</v>
      </c>
      <c r="T813" s="22">
        <v>18.5</v>
      </c>
      <c r="U813" s="22">
        <v>19.25</v>
      </c>
      <c r="V813" s="22">
        <v>18.299999199999998</v>
      </c>
      <c r="W813" s="22">
        <v>18.850000399999999</v>
      </c>
      <c r="X813" s="22">
        <v>13.7829494</v>
      </c>
      <c r="Y813" s="22">
        <v>783200</v>
      </c>
      <c r="Z813" s="22">
        <v>2.1680310000000001E-2</v>
      </c>
    </row>
    <row r="814" spans="19:26" ht="16" x14ac:dyDescent="0.2">
      <c r="S814" s="23">
        <v>43315</v>
      </c>
      <c r="T814" s="22">
        <v>18.850000399999999</v>
      </c>
      <c r="U814" s="22">
        <v>18.899999600000001</v>
      </c>
      <c r="V814" s="22">
        <v>18.299999199999998</v>
      </c>
      <c r="W814" s="22">
        <v>18.299999199999998</v>
      </c>
      <c r="X814" s="22">
        <v>13.380792599999999</v>
      </c>
      <c r="Y814" s="22">
        <v>686300</v>
      </c>
      <c r="Z814" s="22">
        <v>-2.91778E-2</v>
      </c>
    </row>
    <row r="815" spans="19:26" ht="16" x14ac:dyDescent="0.2">
      <c r="S815" s="23">
        <v>43318</v>
      </c>
      <c r="T815" s="22">
        <v>18.399999600000001</v>
      </c>
      <c r="U815" s="22">
        <v>18.75</v>
      </c>
      <c r="V815" s="22">
        <v>18.350000399999999</v>
      </c>
      <c r="W815" s="22">
        <v>18.649999600000001</v>
      </c>
      <c r="X815" s="22">
        <v>13.6367102</v>
      </c>
      <c r="Y815" s="22">
        <v>628400</v>
      </c>
      <c r="Z815" s="22">
        <v>1.9125739999999999E-2</v>
      </c>
    </row>
    <row r="816" spans="19:26" ht="16" x14ac:dyDescent="0.2">
      <c r="S816" s="23">
        <v>43319</v>
      </c>
      <c r="T816" s="22">
        <v>18.649999600000001</v>
      </c>
      <c r="U816" s="22">
        <v>18.850000399999999</v>
      </c>
      <c r="V816" s="22">
        <v>18.549999199999998</v>
      </c>
      <c r="W816" s="22">
        <v>18.600000399999999</v>
      </c>
      <c r="X816" s="22">
        <v>13.6001511</v>
      </c>
      <c r="Y816" s="22">
        <v>424700</v>
      </c>
      <c r="Z816" s="22">
        <v>-2.6808999999999999E-3</v>
      </c>
    </row>
    <row r="817" spans="19:26" ht="16" x14ac:dyDescent="0.2">
      <c r="S817" s="23">
        <v>43320</v>
      </c>
      <c r="T817" s="22">
        <v>18.5</v>
      </c>
      <c r="U817" s="22">
        <v>18.850000399999999</v>
      </c>
      <c r="V817" s="22">
        <v>18.450000800000002</v>
      </c>
      <c r="W817" s="22">
        <v>18.799999199999998</v>
      </c>
      <c r="X817" s="22">
        <v>13.746387500000001</v>
      </c>
      <c r="Y817" s="22">
        <v>342100</v>
      </c>
      <c r="Z817" s="22">
        <v>1.075256E-2</v>
      </c>
    </row>
    <row r="818" spans="19:26" ht="16" x14ac:dyDescent="0.2">
      <c r="S818" s="23">
        <v>43321</v>
      </c>
      <c r="T818" s="22">
        <v>18.850000399999999</v>
      </c>
      <c r="U818" s="22">
        <v>19.25</v>
      </c>
      <c r="V818" s="22">
        <v>18.799999199999998</v>
      </c>
      <c r="W818" s="22">
        <v>19.100000399999999</v>
      </c>
      <c r="X818" s="22">
        <v>13.965744000000001</v>
      </c>
      <c r="Y818" s="22">
        <v>331900</v>
      </c>
      <c r="Z818" s="22">
        <v>1.59574E-2</v>
      </c>
    </row>
    <row r="819" spans="19:26" ht="16" x14ac:dyDescent="0.2">
      <c r="S819" s="23">
        <v>43322</v>
      </c>
      <c r="T819" s="22">
        <v>19.149999600000001</v>
      </c>
      <c r="U819" s="22">
        <v>19.200000800000002</v>
      </c>
      <c r="V819" s="22">
        <v>19</v>
      </c>
      <c r="W819" s="22">
        <v>19</v>
      </c>
      <c r="X819" s="22">
        <v>13.8926277</v>
      </c>
      <c r="Y819" s="22">
        <v>201700</v>
      </c>
      <c r="Z819" s="22">
        <v>-5.2354000000000003E-3</v>
      </c>
    </row>
    <row r="820" spans="19:26" ht="16" x14ac:dyDescent="0.2">
      <c r="S820" s="23">
        <v>43325</v>
      </c>
      <c r="T820" s="22">
        <v>19.049999199999998</v>
      </c>
      <c r="U820" s="22">
        <v>19.149999600000001</v>
      </c>
      <c r="V820" s="22">
        <v>18.899999600000001</v>
      </c>
      <c r="W820" s="22">
        <v>19.049999199999998</v>
      </c>
      <c r="X820" s="22">
        <v>13.9291859</v>
      </c>
      <c r="Y820" s="22">
        <v>336700</v>
      </c>
      <c r="Z820" s="22">
        <v>2.6314799999999998E-3</v>
      </c>
    </row>
    <row r="821" spans="19:26" ht="16" x14ac:dyDescent="0.2">
      <c r="S821" s="23">
        <v>43326</v>
      </c>
      <c r="T821" s="22">
        <v>19.049999199999998</v>
      </c>
      <c r="U821" s="22">
        <v>19.549999199999998</v>
      </c>
      <c r="V821" s="22">
        <v>19.049999199999998</v>
      </c>
      <c r="W821" s="22">
        <v>19.450000800000002</v>
      </c>
      <c r="X821" s="22">
        <v>14.2216644</v>
      </c>
      <c r="Y821" s="22">
        <v>610200</v>
      </c>
      <c r="Z821" s="22">
        <v>2.099753E-2</v>
      </c>
    </row>
    <row r="822" spans="19:26" ht="16" x14ac:dyDescent="0.2">
      <c r="S822" s="23">
        <v>43327</v>
      </c>
      <c r="T822" s="22">
        <v>19.5</v>
      </c>
      <c r="U822" s="22">
        <v>19.649999600000001</v>
      </c>
      <c r="V822" s="22">
        <v>19.350000399999999</v>
      </c>
      <c r="W822" s="22">
        <v>19.600000399999999</v>
      </c>
      <c r="X822" s="22">
        <v>14.3313465</v>
      </c>
      <c r="Y822" s="22">
        <v>843000</v>
      </c>
      <c r="Z822" s="22">
        <v>7.7123199999999999E-3</v>
      </c>
    </row>
    <row r="823" spans="19:26" ht="16" x14ac:dyDescent="0.2">
      <c r="S823" s="23">
        <v>43328</v>
      </c>
      <c r="T823" s="22">
        <v>19.600000399999999</v>
      </c>
      <c r="U823" s="22">
        <v>19.899999600000001</v>
      </c>
      <c r="V823" s="22">
        <v>19.549999199999998</v>
      </c>
      <c r="W823" s="22">
        <v>19.850000399999999</v>
      </c>
      <c r="X823" s="22">
        <v>14.5141411</v>
      </c>
      <c r="Y823" s="22">
        <v>562700</v>
      </c>
      <c r="Z823" s="22">
        <v>1.275488E-2</v>
      </c>
    </row>
    <row r="824" spans="19:26" ht="16" x14ac:dyDescent="0.2">
      <c r="S824" s="23">
        <v>43329</v>
      </c>
      <c r="T824" s="22">
        <v>19.899999600000001</v>
      </c>
      <c r="U824" s="22">
        <v>19.950000800000002</v>
      </c>
      <c r="V824" s="22">
        <v>19.700000800000002</v>
      </c>
      <c r="W824" s="22">
        <v>19.899999600000001</v>
      </c>
      <c r="X824" s="22">
        <v>14.5506973</v>
      </c>
      <c r="Y824" s="22">
        <v>686100</v>
      </c>
      <c r="Z824" s="22">
        <v>2.5186599999999998E-3</v>
      </c>
    </row>
    <row r="825" spans="19:26" ht="16" x14ac:dyDescent="0.2">
      <c r="S825" s="23">
        <v>43332</v>
      </c>
      <c r="T825" s="22">
        <v>19.950000800000002</v>
      </c>
      <c r="U825" s="22">
        <v>20.450000800000002</v>
      </c>
      <c r="V825" s="22">
        <v>19.889999400000001</v>
      </c>
      <c r="W825" s="22">
        <v>20.350000399999999</v>
      </c>
      <c r="X825" s="22">
        <v>14.879733099999999</v>
      </c>
      <c r="Y825" s="22">
        <v>538000</v>
      </c>
      <c r="Z825" s="22">
        <v>2.2613060000000001E-2</v>
      </c>
    </row>
    <row r="826" spans="19:26" ht="16" x14ac:dyDescent="0.2">
      <c r="S826" s="23">
        <v>43333</v>
      </c>
      <c r="T826" s="22">
        <v>20.299999199999998</v>
      </c>
      <c r="U826" s="22">
        <v>20.649999600000001</v>
      </c>
      <c r="V826" s="22">
        <v>20.149999600000001</v>
      </c>
      <c r="W826" s="22">
        <v>20.25</v>
      </c>
      <c r="X826" s="22">
        <v>14.8066111</v>
      </c>
      <c r="Y826" s="22">
        <v>719300</v>
      </c>
      <c r="Z826" s="22">
        <v>-4.9141999999999996E-3</v>
      </c>
    </row>
    <row r="827" spans="19:26" ht="16" x14ac:dyDescent="0.2">
      <c r="S827" s="23">
        <v>43334</v>
      </c>
      <c r="T827" s="22">
        <v>20.25</v>
      </c>
      <c r="U827" s="22">
        <v>20.450000800000002</v>
      </c>
      <c r="V827" s="22">
        <v>20.049999199999998</v>
      </c>
      <c r="W827" s="22">
        <v>20.149999600000001</v>
      </c>
      <c r="X827" s="22">
        <v>14.7334929</v>
      </c>
      <c r="Y827" s="22">
        <v>265400</v>
      </c>
      <c r="Z827" s="22">
        <v>-4.9382000000000002E-3</v>
      </c>
    </row>
    <row r="828" spans="19:26" ht="16" x14ac:dyDescent="0.2">
      <c r="S828" s="23">
        <v>43335</v>
      </c>
      <c r="T828" s="22">
        <v>20.200000800000002</v>
      </c>
      <c r="U828" s="22">
        <v>20.25</v>
      </c>
      <c r="V828" s="22">
        <v>19.850000399999999</v>
      </c>
      <c r="W828" s="22">
        <v>20.049999199999998</v>
      </c>
      <c r="X828" s="22">
        <v>14.660377499999999</v>
      </c>
      <c r="Y828" s="22">
        <v>321300</v>
      </c>
      <c r="Z828" s="22">
        <v>-4.9624999999999999E-3</v>
      </c>
    </row>
    <row r="829" spans="19:26" ht="16" x14ac:dyDescent="0.2">
      <c r="S829" s="23">
        <v>43336</v>
      </c>
      <c r="T829" s="22">
        <v>20.049999199999998</v>
      </c>
      <c r="U829" s="22">
        <v>20.399999600000001</v>
      </c>
      <c r="V829" s="22">
        <v>20.049999199999998</v>
      </c>
      <c r="W829" s="22">
        <v>20.399999600000001</v>
      </c>
      <c r="X829" s="22">
        <v>14.916293100000001</v>
      </c>
      <c r="Y829" s="22">
        <v>409800</v>
      </c>
      <c r="Z829" s="22">
        <v>1.7456280000000001E-2</v>
      </c>
    </row>
    <row r="830" spans="19:26" ht="16" x14ac:dyDescent="0.2">
      <c r="S830" s="23">
        <v>43339</v>
      </c>
      <c r="T830" s="22">
        <v>20.399999600000001</v>
      </c>
      <c r="U830" s="22">
        <v>20.6200008</v>
      </c>
      <c r="V830" s="22">
        <v>20.350000399999999</v>
      </c>
      <c r="W830" s="22">
        <v>20.5</v>
      </c>
      <c r="X830" s="22">
        <v>14.9894123</v>
      </c>
      <c r="Y830" s="22">
        <v>609100</v>
      </c>
      <c r="Z830" s="22">
        <v>4.9019700000000003E-3</v>
      </c>
    </row>
    <row r="831" spans="19:26" ht="16" x14ac:dyDescent="0.2">
      <c r="S831" s="23">
        <v>43340</v>
      </c>
      <c r="T831" s="22">
        <v>20.549999199999998</v>
      </c>
      <c r="U831" s="22">
        <v>20.75</v>
      </c>
      <c r="V831" s="22">
        <v>20.149999600000001</v>
      </c>
      <c r="W831" s="22">
        <v>20.200000800000002</v>
      </c>
      <c r="X831" s="22">
        <v>14.7700567</v>
      </c>
      <c r="Y831" s="22">
        <v>653300</v>
      </c>
      <c r="Z831" s="22">
        <v>-1.4633999999999999E-2</v>
      </c>
    </row>
    <row r="832" spans="19:26" ht="16" x14ac:dyDescent="0.2">
      <c r="S832" s="23">
        <v>43341</v>
      </c>
      <c r="T832" s="22">
        <v>20.25</v>
      </c>
      <c r="U832" s="22">
        <v>20.399999600000001</v>
      </c>
      <c r="V832" s="22">
        <v>20.100000399999999</v>
      </c>
      <c r="W832" s="22">
        <v>20.100000399999999</v>
      </c>
      <c r="X832" s="22">
        <v>14.6969318</v>
      </c>
      <c r="Y832" s="22">
        <v>401400</v>
      </c>
      <c r="Z832" s="22">
        <v>-4.9509000000000003E-3</v>
      </c>
    </row>
    <row r="833" spans="19:26" ht="16" x14ac:dyDescent="0.2">
      <c r="S833" s="23">
        <v>43342</v>
      </c>
      <c r="T833" s="22">
        <v>20.149999600000001</v>
      </c>
      <c r="U833" s="22">
        <v>20.399999600000001</v>
      </c>
      <c r="V833" s="22">
        <v>20.100000399999999</v>
      </c>
      <c r="W833" s="22">
        <v>20.399999600000001</v>
      </c>
      <c r="X833" s="22">
        <v>14.916293100000001</v>
      </c>
      <c r="Y833" s="22">
        <v>271100</v>
      </c>
      <c r="Z833" s="22">
        <v>1.492565E-2</v>
      </c>
    </row>
    <row r="834" spans="19:26" ht="16" x14ac:dyDescent="0.2">
      <c r="S834" s="23">
        <v>43343</v>
      </c>
      <c r="T834" s="22">
        <v>20.049999199999998</v>
      </c>
      <c r="U834" s="22">
        <v>20.149999600000001</v>
      </c>
      <c r="V834" s="22">
        <v>19.75</v>
      </c>
      <c r="W834" s="22">
        <v>19.850000399999999</v>
      </c>
      <c r="X834" s="22">
        <v>14.745441400000001</v>
      </c>
      <c r="Y834" s="22">
        <v>464700</v>
      </c>
      <c r="Z834" s="22">
        <v>-1.1454000000000001E-2</v>
      </c>
    </row>
    <row r="835" spans="19:26" ht="16" x14ac:dyDescent="0.2">
      <c r="S835" s="23">
        <v>43347</v>
      </c>
      <c r="T835" s="22">
        <v>19.75</v>
      </c>
      <c r="U835" s="22">
        <v>20.149999600000001</v>
      </c>
      <c r="V835" s="22">
        <v>19.75</v>
      </c>
      <c r="W835" s="22">
        <v>20.100000399999999</v>
      </c>
      <c r="X835" s="22">
        <v>14.9311466</v>
      </c>
      <c r="Y835" s="22">
        <v>327600</v>
      </c>
      <c r="Z835" s="22">
        <v>1.2594070000000001E-2</v>
      </c>
    </row>
    <row r="836" spans="19:26" ht="16" x14ac:dyDescent="0.2">
      <c r="S836" s="23">
        <v>43348</v>
      </c>
      <c r="T836" s="22">
        <v>20.100000399999999</v>
      </c>
      <c r="U836" s="22">
        <v>20.200000800000002</v>
      </c>
      <c r="V836" s="22">
        <v>19.899999600000001</v>
      </c>
      <c r="W836" s="22">
        <v>20</v>
      </c>
      <c r="X836" s="22">
        <v>14.856865900000001</v>
      </c>
      <c r="Y836" s="22">
        <v>435600</v>
      </c>
      <c r="Z836" s="22">
        <v>-4.9749E-3</v>
      </c>
    </row>
    <row r="837" spans="19:26" ht="16" x14ac:dyDescent="0.2">
      <c r="S837" s="23">
        <v>43349</v>
      </c>
      <c r="T837" s="22">
        <v>20</v>
      </c>
      <c r="U837" s="22">
        <v>20.200000800000002</v>
      </c>
      <c r="V837" s="22">
        <v>19.850000399999999</v>
      </c>
      <c r="W837" s="22">
        <v>20.100000399999999</v>
      </c>
      <c r="X837" s="22">
        <v>14.9311466</v>
      </c>
      <c r="Y837" s="22">
        <v>722600</v>
      </c>
      <c r="Z837" s="22">
        <v>4.9997599999999998E-3</v>
      </c>
    </row>
    <row r="838" spans="19:26" ht="16" x14ac:dyDescent="0.2">
      <c r="S838" s="23">
        <v>43350</v>
      </c>
      <c r="T838" s="22">
        <v>20</v>
      </c>
      <c r="U838" s="22">
        <v>20.149999600000001</v>
      </c>
      <c r="V838" s="22">
        <v>19.75</v>
      </c>
      <c r="W838" s="22">
        <v>19.799999199999998</v>
      </c>
      <c r="X838" s="22">
        <v>14.7082958</v>
      </c>
      <c r="Y838" s="22">
        <v>290800</v>
      </c>
      <c r="Z838" s="22">
        <v>-1.49252E-2</v>
      </c>
    </row>
    <row r="839" spans="19:26" ht="16" x14ac:dyDescent="0.2">
      <c r="S839" s="23">
        <v>43353</v>
      </c>
      <c r="T839" s="22">
        <v>19.899999600000001</v>
      </c>
      <c r="U839" s="22">
        <v>20</v>
      </c>
      <c r="V839" s="22">
        <v>19.549999199999998</v>
      </c>
      <c r="W839" s="22">
        <v>19.700000800000002</v>
      </c>
      <c r="X839" s="22">
        <v>14.6340141</v>
      </c>
      <c r="Y839" s="22">
        <v>459900</v>
      </c>
      <c r="Z839" s="22">
        <v>-5.0502999999999998E-3</v>
      </c>
    </row>
    <row r="840" spans="19:26" ht="16" x14ac:dyDescent="0.2">
      <c r="S840" s="23">
        <v>43354</v>
      </c>
      <c r="T840" s="22">
        <v>19.649999600000001</v>
      </c>
      <c r="U840" s="22">
        <v>20.049999199999998</v>
      </c>
      <c r="V840" s="22">
        <v>19.649999600000001</v>
      </c>
      <c r="W840" s="22">
        <v>19.799999199999998</v>
      </c>
      <c r="X840" s="22">
        <v>14.7082958</v>
      </c>
      <c r="Y840" s="22">
        <v>786300</v>
      </c>
      <c r="Z840" s="22">
        <v>5.07596E-3</v>
      </c>
    </row>
    <row r="841" spans="19:26" ht="16" x14ac:dyDescent="0.2">
      <c r="S841" s="23">
        <v>43355</v>
      </c>
      <c r="T841" s="22">
        <v>19.899999600000001</v>
      </c>
      <c r="U841" s="22">
        <v>20.350000399999999</v>
      </c>
      <c r="V841" s="22">
        <v>19.850000399999999</v>
      </c>
      <c r="W841" s="22">
        <v>20.100000399999999</v>
      </c>
      <c r="X841" s="22">
        <v>14.9311466</v>
      </c>
      <c r="Y841" s="22">
        <v>484300</v>
      </c>
      <c r="Z841" s="22">
        <v>1.5151370000000001E-2</v>
      </c>
    </row>
    <row r="842" spans="19:26" ht="16" x14ac:dyDescent="0.2">
      <c r="S842" s="23">
        <v>43356</v>
      </c>
      <c r="T842" s="22">
        <v>20.100000399999999</v>
      </c>
      <c r="U842" s="22">
        <v>20.25</v>
      </c>
      <c r="V842" s="22">
        <v>19.700000800000002</v>
      </c>
      <c r="W842" s="22">
        <v>20.200000800000002</v>
      </c>
      <c r="X842" s="22">
        <v>15.005436899999999</v>
      </c>
      <c r="Y842" s="22">
        <v>560300</v>
      </c>
      <c r="Z842" s="22">
        <v>4.9755199999999998E-3</v>
      </c>
    </row>
    <row r="843" spans="19:26" ht="16" x14ac:dyDescent="0.2">
      <c r="S843" s="23">
        <v>43357</v>
      </c>
      <c r="T843" s="22">
        <v>20.149999600000001</v>
      </c>
      <c r="U843" s="22">
        <v>20.25</v>
      </c>
      <c r="V843" s="22">
        <v>20.0100002</v>
      </c>
      <c r="W843" s="22">
        <v>20.100000399999999</v>
      </c>
      <c r="X843" s="22">
        <v>14.9311466</v>
      </c>
      <c r="Y843" s="22">
        <v>446100</v>
      </c>
      <c r="Z843" s="22">
        <v>-4.9509000000000003E-3</v>
      </c>
    </row>
    <row r="844" spans="19:26" ht="16" x14ac:dyDescent="0.2">
      <c r="S844" s="23">
        <v>43360</v>
      </c>
      <c r="T844" s="22">
        <v>19.450000800000002</v>
      </c>
      <c r="U844" s="22">
        <v>20.549999199999998</v>
      </c>
      <c r="V844" s="22">
        <v>19.450000800000002</v>
      </c>
      <c r="W844" s="22">
        <v>20.149999600000001</v>
      </c>
      <c r="X844" s="22">
        <v>14.968291300000001</v>
      </c>
      <c r="Y844" s="22">
        <v>401400</v>
      </c>
      <c r="Z844" s="22">
        <v>2.4877300000000001E-3</v>
      </c>
    </row>
    <row r="845" spans="19:26" ht="16" x14ac:dyDescent="0.2">
      <c r="S845" s="23">
        <v>43361</v>
      </c>
      <c r="T845" s="22">
        <v>20.25</v>
      </c>
      <c r="U845" s="22">
        <v>20.5</v>
      </c>
      <c r="V845" s="22">
        <v>20</v>
      </c>
      <c r="W845" s="22">
        <v>20.200000800000002</v>
      </c>
      <c r="X845" s="22">
        <v>15.005436899999999</v>
      </c>
      <c r="Y845" s="22">
        <v>943400</v>
      </c>
      <c r="Z845" s="22">
        <v>2.4816199999999999E-3</v>
      </c>
    </row>
    <row r="846" spans="19:26" ht="16" x14ac:dyDescent="0.2">
      <c r="S846" s="23">
        <v>43362</v>
      </c>
      <c r="T846" s="22">
        <v>20.299999199999998</v>
      </c>
      <c r="U846" s="22">
        <v>20.350000399999999</v>
      </c>
      <c r="V846" s="22">
        <v>19.799999199999998</v>
      </c>
      <c r="W846" s="22">
        <v>19.799999199999998</v>
      </c>
      <c r="X846" s="22">
        <v>14.7082958</v>
      </c>
      <c r="Y846" s="22">
        <v>436800</v>
      </c>
      <c r="Z846" s="22">
        <v>-1.9802199999999999E-2</v>
      </c>
    </row>
    <row r="847" spans="19:26" ht="16" x14ac:dyDescent="0.2">
      <c r="S847" s="23">
        <v>43363</v>
      </c>
      <c r="T847" s="22">
        <v>19.799999199999998</v>
      </c>
      <c r="U847" s="22">
        <v>20.049999199999998</v>
      </c>
      <c r="V847" s="22">
        <v>19.75</v>
      </c>
      <c r="W847" s="22">
        <v>19.950000800000002</v>
      </c>
      <c r="X847" s="22">
        <v>14.819728899999999</v>
      </c>
      <c r="Y847" s="22">
        <v>376200</v>
      </c>
      <c r="Z847" s="22">
        <v>7.5761999999999999E-3</v>
      </c>
    </row>
    <row r="848" spans="19:26" ht="16" x14ac:dyDescent="0.2">
      <c r="S848" s="23">
        <v>43364</v>
      </c>
      <c r="T848" s="22">
        <v>20</v>
      </c>
      <c r="U848" s="22">
        <v>20.049999199999998</v>
      </c>
      <c r="V848" s="22">
        <v>19.850000399999999</v>
      </c>
      <c r="W848" s="22">
        <v>20</v>
      </c>
      <c r="X848" s="22">
        <v>14.856865900000001</v>
      </c>
      <c r="Y848" s="22">
        <v>984800</v>
      </c>
      <c r="Z848" s="22">
        <v>2.50592E-3</v>
      </c>
    </row>
    <row r="849" spans="19:26" ht="16" x14ac:dyDescent="0.2">
      <c r="S849" s="23">
        <v>43367</v>
      </c>
      <c r="T849" s="22">
        <v>20.049999199999998</v>
      </c>
      <c r="U849" s="22">
        <v>20.100000399999999</v>
      </c>
      <c r="V849" s="22">
        <v>19.75</v>
      </c>
      <c r="W849" s="22">
        <v>19.850000399999999</v>
      </c>
      <c r="X849" s="22">
        <v>14.745441400000001</v>
      </c>
      <c r="Y849" s="22">
        <v>366900</v>
      </c>
      <c r="Z849" s="22">
        <v>-7.4999000000000003E-3</v>
      </c>
    </row>
    <row r="850" spans="19:26" ht="16" x14ac:dyDescent="0.2">
      <c r="S850" s="23">
        <v>43368</v>
      </c>
      <c r="T850" s="22">
        <v>19.149999600000001</v>
      </c>
      <c r="U850" s="22">
        <v>19.399999600000001</v>
      </c>
      <c r="V850" s="22">
        <v>19.0100002</v>
      </c>
      <c r="W850" s="22">
        <v>19.200000800000002</v>
      </c>
      <c r="X850" s="22">
        <v>14.262590400000001</v>
      </c>
      <c r="Y850" s="22">
        <v>1053400</v>
      </c>
      <c r="Z850" s="22">
        <v>-3.2745799999999999E-2</v>
      </c>
    </row>
    <row r="851" spans="19:26" ht="16" x14ac:dyDescent="0.2">
      <c r="S851" s="23">
        <v>43369</v>
      </c>
      <c r="T851" s="22">
        <v>19.200000800000002</v>
      </c>
      <c r="U851" s="22">
        <v>19.5</v>
      </c>
      <c r="V851" s="22">
        <v>19.100000399999999</v>
      </c>
      <c r="W851" s="22">
        <v>19.100000399999999</v>
      </c>
      <c r="X851" s="22">
        <v>14.1883097</v>
      </c>
      <c r="Y851" s="22">
        <v>1539400</v>
      </c>
      <c r="Z851" s="22">
        <v>-5.2081000000000002E-3</v>
      </c>
    </row>
    <row r="852" spans="19:26" ht="16" x14ac:dyDescent="0.2">
      <c r="S852" s="23">
        <v>43370</v>
      </c>
      <c r="T852" s="22">
        <v>19.100000399999999</v>
      </c>
      <c r="U852" s="22">
        <v>19.350000399999999</v>
      </c>
      <c r="V852" s="22">
        <v>19.049999199999998</v>
      </c>
      <c r="W852" s="22">
        <v>19.100000399999999</v>
      </c>
      <c r="X852" s="22">
        <v>14.1883097</v>
      </c>
      <c r="Y852" s="22">
        <v>835800</v>
      </c>
      <c r="Z852" s="22">
        <v>0</v>
      </c>
    </row>
    <row r="853" spans="19:26" ht="16" x14ac:dyDescent="0.2">
      <c r="S853" s="23">
        <v>43371</v>
      </c>
      <c r="T853" s="22">
        <v>19.200000800000002</v>
      </c>
      <c r="U853" s="22">
        <v>19.399999600000001</v>
      </c>
      <c r="V853" s="22">
        <v>19</v>
      </c>
      <c r="W853" s="22">
        <v>19.25</v>
      </c>
      <c r="X853" s="22">
        <v>14.299735099999999</v>
      </c>
      <c r="Y853" s="22">
        <v>842500</v>
      </c>
      <c r="Z853" s="22">
        <v>7.8533200000000004E-3</v>
      </c>
    </row>
    <row r="854" spans="19:26" ht="16" x14ac:dyDescent="0.2">
      <c r="S854" s="23">
        <v>43374</v>
      </c>
      <c r="T854" s="22">
        <v>19.2399998</v>
      </c>
      <c r="U854" s="22">
        <v>19.350000399999999</v>
      </c>
      <c r="V854" s="22">
        <v>19.1900005</v>
      </c>
      <c r="W854" s="22">
        <v>19.280000699999999</v>
      </c>
      <c r="X854" s="22">
        <v>14.3220224</v>
      </c>
      <c r="Y854" s="22">
        <v>330200</v>
      </c>
      <c r="Z854" s="22">
        <v>1.5585900000000001E-3</v>
      </c>
    </row>
    <row r="855" spans="19:26" ht="16" x14ac:dyDescent="0.2">
      <c r="S855" s="23">
        <v>43375</v>
      </c>
      <c r="T855" s="22">
        <v>19.079999900000001</v>
      </c>
      <c r="U855" s="22">
        <v>19.5</v>
      </c>
      <c r="V855" s="22">
        <v>19.049999199999998</v>
      </c>
      <c r="W855" s="22">
        <v>19.469999300000001</v>
      </c>
      <c r="X855" s="22">
        <v>14.463156700000001</v>
      </c>
      <c r="Y855" s="22">
        <v>640100</v>
      </c>
      <c r="Z855" s="22">
        <v>9.8543499999999996E-3</v>
      </c>
    </row>
    <row r="856" spans="19:26" ht="16" x14ac:dyDescent="0.2">
      <c r="S856" s="23">
        <v>43376</v>
      </c>
      <c r="T856" s="22">
        <v>19.5</v>
      </c>
      <c r="U856" s="22">
        <v>19.8199997</v>
      </c>
      <c r="V856" s="22">
        <v>19.450000800000002</v>
      </c>
      <c r="W856" s="22">
        <v>19.530000699999999</v>
      </c>
      <c r="X856" s="22">
        <v>14.5077295</v>
      </c>
      <c r="Y856" s="22">
        <v>736700</v>
      </c>
      <c r="Z856" s="22">
        <v>3.0818199999999999E-3</v>
      </c>
    </row>
    <row r="857" spans="19:26" ht="16" x14ac:dyDescent="0.2">
      <c r="S857" s="23">
        <v>43377</v>
      </c>
      <c r="T857" s="22">
        <v>19.530000699999999</v>
      </c>
      <c r="U857" s="22">
        <v>19.600000399999999</v>
      </c>
      <c r="V857" s="22">
        <v>19.340000199999999</v>
      </c>
      <c r="W857" s="22">
        <v>19.4300003</v>
      </c>
      <c r="X857" s="22">
        <v>14.4334469</v>
      </c>
      <c r="Y857" s="22">
        <v>971900</v>
      </c>
      <c r="Z857" s="22">
        <v>-5.1202000000000001E-3</v>
      </c>
    </row>
    <row r="858" spans="19:26" ht="16" x14ac:dyDescent="0.2">
      <c r="S858" s="23">
        <v>43378</v>
      </c>
      <c r="T858" s="22">
        <v>19.4300003</v>
      </c>
      <c r="U858" s="22">
        <v>19.670000099999999</v>
      </c>
      <c r="V858" s="22">
        <v>19.409999800000001</v>
      </c>
      <c r="W858" s="22">
        <v>19.530000699999999</v>
      </c>
      <c r="X858" s="22">
        <v>14.5077295</v>
      </c>
      <c r="Y858" s="22">
        <v>466000</v>
      </c>
      <c r="Z858" s="22">
        <v>5.1465599999999997E-3</v>
      </c>
    </row>
    <row r="859" spans="19:26" ht="16" x14ac:dyDescent="0.2">
      <c r="S859" s="23">
        <v>43381</v>
      </c>
      <c r="T859" s="22">
        <v>19.530000699999999</v>
      </c>
      <c r="U859" s="22">
        <v>19.860000599999999</v>
      </c>
      <c r="V859" s="22">
        <v>19.530000699999999</v>
      </c>
      <c r="W859" s="22">
        <v>19.700000800000002</v>
      </c>
      <c r="X859" s="22">
        <v>14.6340141</v>
      </c>
      <c r="Y859" s="22">
        <v>678200</v>
      </c>
      <c r="Z859" s="22">
        <v>8.7046399999999996E-3</v>
      </c>
    </row>
    <row r="860" spans="19:26" ht="16" x14ac:dyDescent="0.2">
      <c r="S860" s="23">
        <v>43382</v>
      </c>
      <c r="T860" s="22">
        <v>19.729999500000002</v>
      </c>
      <c r="U860" s="22">
        <v>19.969999300000001</v>
      </c>
      <c r="V860" s="22">
        <v>19.6900005</v>
      </c>
      <c r="W860" s="22">
        <v>19.850000399999999</v>
      </c>
      <c r="X860" s="22">
        <v>14.745441400000001</v>
      </c>
      <c r="Y860" s="22">
        <v>781100</v>
      </c>
      <c r="Z860" s="22">
        <v>7.6142700000000002E-3</v>
      </c>
    </row>
    <row r="861" spans="19:26" ht="16" x14ac:dyDescent="0.2">
      <c r="S861" s="23">
        <v>43383</v>
      </c>
      <c r="T861" s="22">
        <v>19.860000599999999</v>
      </c>
      <c r="U861" s="22">
        <v>20.299999199999998</v>
      </c>
      <c r="V861" s="22">
        <v>19.659999800000001</v>
      </c>
      <c r="W861" s="22">
        <v>19.659999800000001</v>
      </c>
      <c r="X861" s="22">
        <v>14.6043015</v>
      </c>
      <c r="Y861" s="22">
        <v>1086600</v>
      </c>
      <c r="Z861" s="22">
        <v>-9.5718000000000001E-3</v>
      </c>
    </row>
    <row r="862" spans="19:26" ht="16" x14ac:dyDescent="0.2">
      <c r="S862" s="23">
        <v>43384</v>
      </c>
      <c r="T862" s="22">
        <v>19.670000099999999</v>
      </c>
      <c r="U862" s="22">
        <v>19.920000099999999</v>
      </c>
      <c r="V862" s="22">
        <v>19.399999600000001</v>
      </c>
      <c r="W862" s="22">
        <v>19.459999100000001</v>
      </c>
      <c r="X862" s="22">
        <v>14.4557304</v>
      </c>
      <c r="Y862" s="22">
        <v>595900</v>
      </c>
      <c r="Z862" s="22">
        <v>-1.0173099999999999E-2</v>
      </c>
    </row>
    <row r="863" spans="19:26" ht="16" x14ac:dyDescent="0.2">
      <c r="S863" s="23">
        <v>43385</v>
      </c>
      <c r="T863" s="22">
        <v>19.4899998</v>
      </c>
      <c r="U863" s="22">
        <v>19.7399998</v>
      </c>
      <c r="V863" s="22">
        <v>19.299999199999998</v>
      </c>
      <c r="W863" s="22">
        <v>19.549999199999998</v>
      </c>
      <c r="X863" s="22">
        <v>14.522584</v>
      </c>
      <c r="Y863" s="22">
        <v>550700</v>
      </c>
      <c r="Z863" s="22">
        <v>4.6247099999999998E-3</v>
      </c>
    </row>
    <row r="864" spans="19:26" ht="16" x14ac:dyDescent="0.2">
      <c r="S864" s="23">
        <v>43388</v>
      </c>
      <c r="T864" s="22">
        <v>19.530000699999999</v>
      </c>
      <c r="U864" s="22">
        <v>19.9899998</v>
      </c>
      <c r="V864" s="22">
        <v>19.479999500000002</v>
      </c>
      <c r="W864" s="22">
        <v>19.649999600000001</v>
      </c>
      <c r="X864" s="22">
        <v>14.596871399999999</v>
      </c>
      <c r="Y864" s="22">
        <v>485000</v>
      </c>
      <c r="Z864" s="22">
        <v>5.1152999999999997E-3</v>
      </c>
    </row>
    <row r="865" spans="19:26" ht="16" x14ac:dyDescent="0.2">
      <c r="S865" s="23">
        <v>43389</v>
      </c>
      <c r="T865" s="22">
        <v>19.670000099999999</v>
      </c>
      <c r="U865" s="22">
        <v>20.0100002</v>
      </c>
      <c r="V865" s="22">
        <v>19.600000399999999</v>
      </c>
      <c r="W865" s="22">
        <v>19.899999600000001</v>
      </c>
      <c r="X865" s="22">
        <v>14.7825823</v>
      </c>
      <c r="Y865" s="22">
        <v>544200</v>
      </c>
      <c r="Z865" s="22">
        <v>1.272265E-2</v>
      </c>
    </row>
    <row r="866" spans="19:26" ht="16" x14ac:dyDescent="0.2">
      <c r="S866" s="23">
        <v>43390</v>
      </c>
      <c r="T866" s="22">
        <v>19.899999600000001</v>
      </c>
      <c r="U866" s="22">
        <v>19.950000800000002</v>
      </c>
      <c r="V866" s="22">
        <v>19.6800003</v>
      </c>
      <c r="W866" s="22">
        <v>19.719999300000001</v>
      </c>
      <c r="X866" s="22">
        <v>14.6488724</v>
      </c>
      <c r="Y866" s="22">
        <v>273700</v>
      </c>
      <c r="Z866" s="22">
        <v>-9.0451000000000004E-3</v>
      </c>
    </row>
    <row r="867" spans="19:26" ht="16" x14ac:dyDescent="0.2">
      <c r="S867" s="23">
        <v>43391</v>
      </c>
      <c r="T867" s="22">
        <v>19.700000800000002</v>
      </c>
      <c r="U867" s="22">
        <v>19.8099995</v>
      </c>
      <c r="V867" s="22">
        <v>19.4400005</v>
      </c>
      <c r="W867" s="22">
        <v>19.6200008</v>
      </c>
      <c r="X867" s="22">
        <v>14.5745831</v>
      </c>
      <c r="Y867" s="22">
        <v>328400</v>
      </c>
      <c r="Z867" s="22">
        <v>-5.0712999999999999E-3</v>
      </c>
    </row>
    <row r="868" spans="19:26" ht="16" x14ac:dyDescent="0.2">
      <c r="S868" s="23">
        <v>43392</v>
      </c>
      <c r="T868" s="22">
        <v>19.590000199999999</v>
      </c>
      <c r="U868" s="22">
        <v>19.950000800000002</v>
      </c>
      <c r="V868" s="22">
        <v>19.590000199999999</v>
      </c>
      <c r="W868" s="22">
        <v>19.780000699999999</v>
      </c>
      <c r="X868" s="22">
        <v>14.693445199999999</v>
      </c>
      <c r="Y868" s="22">
        <v>305000</v>
      </c>
      <c r="Z868" s="22">
        <v>8.1554399999999999E-3</v>
      </c>
    </row>
    <row r="869" spans="19:26" ht="16" x14ac:dyDescent="0.2">
      <c r="S869" s="23">
        <v>43395</v>
      </c>
      <c r="T869" s="22">
        <v>19.790000899999999</v>
      </c>
      <c r="U869" s="22">
        <v>20.0100002</v>
      </c>
      <c r="V869" s="22">
        <v>19.75</v>
      </c>
      <c r="W869" s="22">
        <v>19.860000599999999</v>
      </c>
      <c r="X869" s="22">
        <v>14.752867699999999</v>
      </c>
      <c r="Y869" s="22">
        <v>256200</v>
      </c>
      <c r="Z869" s="22">
        <v>4.0441499999999998E-3</v>
      </c>
    </row>
    <row r="870" spans="19:26" ht="16" x14ac:dyDescent="0.2">
      <c r="S870" s="23">
        <v>43396</v>
      </c>
      <c r="T870" s="22">
        <v>19.790000899999999</v>
      </c>
      <c r="U870" s="22">
        <v>19.8799992</v>
      </c>
      <c r="V870" s="22">
        <v>19.3799992</v>
      </c>
      <c r="W870" s="22">
        <v>19.600000399999999</v>
      </c>
      <c r="X870" s="22">
        <v>14.559730500000001</v>
      </c>
      <c r="Y870" s="22">
        <v>467200</v>
      </c>
      <c r="Z870" s="22">
        <v>-1.3091500000000001E-2</v>
      </c>
    </row>
    <row r="871" spans="19:26" ht="16" x14ac:dyDescent="0.2">
      <c r="S871" s="23">
        <v>43397</v>
      </c>
      <c r="T871" s="22">
        <v>19.6800003</v>
      </c>
      <c r="U871" s="22">
        <v>19.860000599999999</v>
      </c>
      <c r="V871" s="22">
        <v>19.469999300000001</v>
      </c>
      <c r="W871" s="22">
        <v>19.549999199999998</v>
      </c>
      <c r="X871" s="22">
        <v>14.522584</v>
      </c>
      <c r="Y871" s="22">
        <v>365600</v>
      </c>
      <c r="Z871" s="22">
        <v>-2.5512999999999998E-3</v>
      </c>
    </row>
    <row r="872" spans="19:26" ht="16" x14ac:dyDescent="0.2">
      <c r="S872" s="23">
        <v>43398</v>
      </c>
      <c r="T872" s="22">
        <v>19.549999199999998</v>
      </c>
      <c r="U872" s="22">
        <v>19.6900005</v>
      </c>
      <c r="V872" s="22">
        <v>19.299999199999998</v>
      </c>
      <c r="W872" s="22">
        <v>19.639999400000001</v>
      </c>
      <c r="X872" s="22">
        <v>14.589441300000001</v>
      </c>
      <c r="Y872" s="22">
        <v>389200</v>
      </c>
      <c r="Z872" s="22">
        <v>4.6036799999999998E-3</v>
      </c>
    </row>
    <row r="873" spans="19:26" ht="16" x14ac:dyDescent="0.2">
      <c r="S873" s="23">
        <v>43399</v>
      </c>
      <c r="T873" s="22">
        <v>19.659999800000001</v>
      </c>
      <c r="U873" s="22">
        <v>19.659999800000001</v>
      </c>
      <c r="V873" s="22">
        <v>19.340000199999999</v>
      </c>
      <c r="W873" s="22">
        <v>19.399999600000001</v>
      </c>
      <c r="X873" s="22">
        <v>14.411157599999999</v>
      </c>
      <c r="Y873" s="22">
        <v>410600</v>
      </c>
      <c r="Z873" s="22">
        <v>-1.222E-2</v>
      </c>
    </row>
    <row r="874" spans="19:26" ht="16" x14ac:dyDescent="0.2">
      <c r="S874" s="23">
        <v>43402</v>
      </c>
      <c r="T874" s="22">
        <v>19.450000800000002</v>
      </c>
      <c r="U874" s="22">
        <v>19.6299992</v>
      </c>
      <c r="V874" s="22">
        <v>19.200000800000002</v>
      </c>
      <c r="W874" s="22">
        <v>19.329999900000001</v>
      </c>
      <c r="X874" s="22">
        <v>14.3591576</v>
      </c>
      <c r="Y874" s="22">
        <v>287100</v>
      </c>
      <c r="Z874" s="22">
        <v>-3.6083E-3</v>
      </c>
    </row>
    <row r="875" spans="19:26" ht="16" x14ac:dyDescent="0.2">
      <c r="S875" s="23">
        <v>43403</v>
      </c>
      <c r="T875" s="22">
        <v>19.329999900000001</v>
      </c>
      <c r="U875" s="22">
        <v>19.729999500000002</v>
      </c>
      <c r="V875" s="22">
        <v>19.329999900000001</v>
      </c>
      <c r="W875" s="22">
        <v>19.600000399999999</v>
      </c>
      <c r="X875" s="22">
        <v>14.559730500000001</v>
      </c>
      <c r="Y875" s="22">
        <v>377800</v>
      </c>
      <c r="Z875" s="22">
        <v>1.3968299999999999E-2</v>
      </c>
    </row>
    <row r="876" spans="19:26" ht="16" x14ac:dyDescent="0.2">
      <c r="S876" s="23">
        <v>43404</v>
      </c>
      <c r="T876" s="22">
        <v>19.6200008</v>
      </c>
      <c r="U876" s="22">
        <v>19.75</v>
      </c>
      <c r="V876" s="22">
        <v>19.4300003</v>
      </c>
      <c r="W876" s="22">
        <v>19.610000599999999</v>
      </c>
      <c r="X876" s="22">
        <v>14.567157699999999</v>
      </c>
      <c r="Y876" s="22">
        <v>604600</v>
      </c>
      <c r="Z876" s="22">
        <v>5.1011999999999997E-4</v>
      </c>
    </row>
    <row r="877" spans="19:26" ht="16" x14ac:dyDescent="0.2">
      <c r="S877" s="23">
        <v>43405</v>
      </c>
      <c r="T877" s="22">
        <v>19.6200008</v>
      </c>
      <c r="U877" s="22">
        <v>19.75</v>
      </c>
      <c r="V877" s="22">
        <v>19.5100002</v>
      </c>
      <c r="W877" s="22">
        <v>19.5699997</v>
      </c>
      <c r="X877" s="22">
        <v>14.5374441</v>
      </c>
      <c r="Y877" s="22">
        <v>261600</v>
      </c>
      <c r="Z877" s="22">
        <v>-2.0398E-3</v>
      </c>
    </row>
    <row r="878" spans="19:26" ht="16" x14ac:dyDescent="0.2">
      <c r="S878" s="23">
        <v>43406</v>
      </c>
      <c r="T878" s="22">
        <v>19.6299992</v>
      </c>
      <c r="U878" s="22">
        <v>19.6900005</v>
      </c>
      <c r="V878" s="22">
        <v>19.329999900000001</v>
      </c>
      <c r="W878" s="22">
        <v>19.4899998</v>
      </c>
      <c r="X878" s="22">
        <v>14.478015900000001</v>
      </c>
      <c r="Y878" s="22">
        <v>251500</v>
      </c>
      <c r="Z878" s="22">
        <v>-4.0879000000000002E-3</v>
      </c>
    </row>
    <row r="879" spans="19:26" ht="16" x14ac:dyDescent="0.2">
      <c r="S879" s="23">
        <v>43409</v>
      </c>
      <c r="T879" s="22">
        <v>19.5699997</v>
      </c>
      <c r="U879" s="22">
        <v>19.799999199999998</v>
      </c>
      <c r="V879" s="22">
        <v>19.469999300000001</v>
      </c>
      <c r="W879" s="22">
        <v>19.700000800000002</v>
      </c>
      <c r="X879" s="22">
        <v>14.6340141</v>
      </c>
      <c r="Y879" s="22">
        <v>493300</v>
      </c>
      <c r="Z879" s="22">
        <v>1.0774830000000001E-2</v>
      </c>
    </row>
    <row r="880" spans="19:26" ht="16" x14ac:dyDescent="0.2">
      <c r="S880" s="23">
        <v>43410</v>
      </c>
      <c r="T880" s="22">
        <v>19.6200008</v>
      </c>
      <c r="U880" s="22">
        <v>19.8099995</v>
      </c>
      <c r="V880" s="22">
        <v>19.280000699999999</v>
      </c>
      <c r="W880" s="22">
        <v>19.610000599999999</v>
      </c>
      <c r="X880" s="22">
        <v>14.567157699999999</v>
      </c>
      <c r="Y880" s="22">
        <v>659800</v>
      </c>
      <c r="Z880" s="22">
        <v>-4.5685999999999999E-3</v>
      </c>
    </row>
    <row r="881" spans="19:26" ht="16" x14ac:dyDescent="0.2">
      <c r="S881" s="23">
        <v>43411</v>
      </c>
      <c r="T881" s="22">
        <v>19.799999199999998</v>
      </c>
      <c r="U881" s="22">
        <v>19.9400005</v>
      </c>
      <c r="V881" s="22">
        <v>19.579999900000001</v>
      </c>
      <c r="W881" s="22">
        <v>19.700000800000002</v>
      </c>
      <c r="X881" s="22">
        <v>14.6340141</v>
      </c>
      <c r="Y881" s="22">
        <v>494000</v>
      </c>
      <c r="Z881" s="22">
        <v>4.5895299999999997E-3</v>
      </c>
    </row>
    <row r="882" spans="19:26" ht="16" x14ac:dyDescent="0.2">
      <c r="S882" s="23">
        <v>43412</v>
      </c>
      <c r="T882" s="22">
        <v>19.7399998</v>
      </c>
      <c r="U882" s="22">
        <v>19.920000099999999</v>
      </c>
      <c r="V882" s="22">
        <v>19.5</v>
      </c>
      <c r="W882" s="22">
        <v>19.860000599999999</v>
      </c>
      <c r="X882" s="22">
        <v>14.752867699999999</v>
      </c>
      <c r="Y882" s="22">
        <v>471100</v>
      </c>
      <c r="Z882" s="22">
        <v>8.1217300000000006E-3</v>
      </c>
    </row>
    <row r="883" spans="19:26" ht="16" x14ac:dyDescent="0.2">
      <c r="S883" s="23">
        <v>43413</v>
      </c>
      <c r="T883" s="22">
        <v>19.850000399999999</v>
      </c>
      <c r="U883" s="22">
        <v>19.950000800000002</v>
      </c>
      <c r="V883" s="22">
        <v>19.6299992</v>
      </c>
      <c r="W883" s="22">
        <v>19.790000899999999</v>
      </c>
      <c r="X883" s="22">
        <v>14.700870500000001</v>
      </c>
      <c r="Y883" s="22">
        <v>399600</v>
      </c>
      <c r="Z883" s="22">
        <v>-3.5244999999999999E-3</v>
      </c>
    </row>
    <row r="884" spans="19:26" ht="16" x14ac:dyDescent="0.2">
      <c r="S884" s="23">
        <v>43416</v>
      </c>
      <c r="T884" s="22">
        <v>19.8199997</v>
      </c>
      <c r="U884" s="22">
        <v>19.969999300000001</v>
      </c>
      <c r="V884" s="22">
        <v>19.549999199999998</v>
      </c>
      <c r="W884" s="22">
        <v>19.610000599999999</v>
      </c>
      <c r="X884" s="22">
        <v>14.567157699999999</v>
      </c>
      <c r="Y884" s="22">
        <v>672400</v>
      </c>
      <c r="Z884" s="22">
        <v>-9.0956000000000006E-3</v>
      </c>
    </row>
    <row r="885" spans="19:26" ht="16" x14ac:dyDescent="0.2">
      <c r="S885" s="23">
        <v>43417</v>
      </c>
      <c r="T885" s="22">
        <v>19.729999500000002</v>
      </c>
      <c r="U885" s="22">
        <v>19.729999500000002</v>
      </c>
      <c r="V885" s="22">
        <v>19</v>
      </c>
      <c r="W885" s="22">
        <v>19.110000599999999</v>
      </c>
      <c r="X885" s="22">
        <v>14.195734</v>
      </c>
      <c r="Y885" s="22">
        <v>890900</v>
      </c>
      <c r="Z885" s="22">
        <v>-2.5497300000000001E-2</v>
      </c>
    </row>
    <row r="886" spans="19:26" ht="16" x14ac:dyDescent="0.2">
      <c r="S886" s="23">
        <v>43418</v>
      </c>
      <c r="T886" s="22">
        <v>19.110000599999999</v>
      </c>
      <c r="U886" s="22">
        <v>19.149999600000001</v>
      </c>
      <c r="V886" s="22">
        <v>16.829999900000001</v>
      </c>
      <c r="W886" s="22">
        <v>17.090000199999999</v>
      </c>
      <c r="X886" s="22">
        <v>12.695191400000001</v>
      </c>
      <c r="Y886" s="22">
        <v>3128900</v>
      </c>
      <c r="Z886" s="22">
        <v>-0.1057038</v>
      </c>
    </row>
    <row r="887" spans="19:26" ht="16" x14ac:dyDescent="0.2">
      <c r="S887" s="23">
        <v>43419</v>
      </c>
      <c r="T887" s="22">
        <v>17.0599995</v>
      </c>
      <c r="U887" s="22">
        <v>17.360000599999999</v>
      </c>
      <c r="V887" s="22">
        <v>16.2600002</v>
      </c>
      <c r="W887" s="22">
        <v>16.3700008</v>
      </c>
      <c r="X887" s="22">
        <v>12.1603479</v>
      </c>
      <c r="Y887" s="22">
        <v>1978000</v>
      </c>
      <c r="Z887" s="22">
        <v>-4.2129600000000003E-2</v>
      </c>
    </row>
    <row r="888" spans="19:26" ht="16" x14ac:dyDescent="0.2">
      <c r="S888" s="23">
        <v>43420</v>
      </c>
      <c r="T888" s="22">
        <v>17.030000699999999</v>
      </c>
      <c r="U888" s="22">
        <v>18.299999199999998</v>
      </c>
      <c r="V888" s="22">
        <v>16.899999600000001</v>
      </c>
      <c r="W888" s="22">
        <v>17.9899998</v>
      </c>
      <c r="X888" s="22">
        <v>13.363748599999999</v>
      </c>
      <c r="Y888" s="22">
        <v>2122700</v>
      </c>
      <c r="Z888" s="22">
        <v>9.8961030000000005E-2</v>
      </c>
    </row>
    <row r="889" spans="19:26" ht="16" x14ac:dyDescent="0.2">
      <c r="S889" s="23">
        <v>43423</v>
      </c>
      <c r="T889" s="22">
        <v>17.9400005</v>
      </c>
      <c r="U889" s="22">
        <v>18.520000499999998</v>
      </c>
      <c r="V889" s="22">
        <v>17.9400005</v>
      </c>
      <c r="W889" s="22">
        <v>18.229999500000002</v>
      </c>
      <c r="X889" s="22">
        <v>13.542033200000001</v>
      </c>
      <c r="Y889" s="22">
        <v>675100</v>
      </c>
      <c r="Z889" s="22">
        <v>1.3340919999999999E-2</v>
      </c>
    </row>
    <row r="890" spans="19:26" ht="16" x14ac:dyDescent="0.2">
      <c r="S890" s="23">
        <v>43424</v>
      </c>
      <c r="T890" s="22">
        <v>18.219999300000001</v>
      </c>
      <c r="U890" s="22">
        <v>18.329999900000001</v>
      </c>
      <c r="V890" s="22">
        <v>17.700000800000002</v>
      </c>
      <c r="W890" s="22">
        <v>17.9899998</v>
      </c>
      <c r="X890" s="22">
        <v>13.363748599999999</v>
      </c>
      <c r="Y890" s="22">
        <v>597600</v>
      </c>
      <c r="Z890" s="22">
        <v>-1.31653E-2</v>
      </c>
    </row>
    <row r="891" spans="19:26" ht="16" x14ac:dyDescent="0.2">
      <c r="S891" s="23">
        <v>43425</v>
      </c>
      <c r="T891" s="22">
        <v>17.969999300000001</v>
      </c>
      <c r="U891" s="22">
        <v>18.170000099999999</v>
      </c>
      <c r="V891" s="22">
        <v>17.829999900000001</v>
      </c>
      <c r="W891" s="22">
        <v>17.969999300000001</v>
      </c>
      <c r="X891" s="22">
        <v>13.3488951</v>
      </c>
      <c r="Y891" s="22">
        <v>396900</v>
      </c>
      <c r="Z891" s="22">
        <v>-1.1115000000000001E-3</v>
      </c>
    </row>
    <row r="892" spans="19:26" ht="16" x14ac:dyDescent="0.2">
      <c r="S892" s="23">
        <v>43427</v>
      </c>
      <c r="T892" s="22">
        <v>17.9400005</v>
      </c>
      <c r="U892" s="22">
        <v>18.110000599999999</v>
      </c>
      <c r="V892" s="22">
        <v>17.829999900000001</v>
      </c>
      <c r="W892" s="22">
        <v>18.0100002</v>
      </c>
      <c r="X892" s="22">
        <v>13.3786097</v>
      </c>
      <c r="Y892" s="22">
        <v>204300</v>
      </c>
      <c r="Z892" s="22">
        <v>2.2260000000000001E-3</v>
      </c>
    </row>
    <row r="893" spans="19:26" ht="16" x14ac:dyDescent="0.2">
      <c r="S893" s="23">
        <v>43430</v>
      </c>
      <c r="T893" s="22">
        <v>18.100000399999999</v>
      </c>
      <c r="U893" s="22">
        <v>18.25</v>
      </c>
      <c r="V893" s="22">
        <v>18.040000899999999</v>
      </c>
      <c r="W893" s="22">
        <v>18.1200008</v>
      </c>
      <c r="X893" s="22">
        <v>13.4603214</v>
      </c>
      <c r="Y893" s="22">
        <v>487500</v>
      </c>
      <c r="Z893" s="22">
        <v>6.1076400000000001E-3</v>
      </c>
    </row>
    <row r="894" spans="19:26" ht="16" x14ac:dyDescent="0.2">
      <c r="S894" s="23">
        <v>43431</v>
      </c>
      <c r="T894" s="22">
        <v>18.100000399999999</v>
      </c>
      <c r="U894" s="22">
        <v>18.3199997</v>
      </c>
      <c r="V894" s="22">
        <v>18.0599995</v>
      </c>
      <c r="W894" s="22">
        <v>18.219999300000001</v>
      </c>
      <c r="X894" s="22">
        <v>13.534604099999999</v>
      </c>
      <c r="Y894" s="22">
        <v>347500</v>
      </c>
      <c r="Z894" s="22">
        <v>5.51864E-3</v>
      </c>
    </row>
    <row r="895" spans="19:26" ht="16" x14ac:dyDescent="0.2">
      <c r="S895" s="23">
        <v>43432</v>
      </c>
      <c r="T895" s="22">
        <v>18.299999199999998</v>
      </c>
      <c r="U895" s="22">
        <v>18.420000099999999</v>
      </c>
      <c r="V895" s="22">
        <v>18.020000499999998</v>
      </c>
      <c r="W895" s="22">
        <v>18.270000499999998</v>
      </c>
      <c r="X895" s="22">
        <v>13.571747800000001</v>
      </c>
      <c r="Y895" s="22">
        <v>455300</v>
      </c>
      <c r="Z895" s="22">
        <v>2.74435E-3</v>
      </c>
    </row>
    <row r="896" spans="19:26" ht="16" x14ac:dyDescent="0.2">
      <c r="S896" s="23">
        <v>43433</v>
      </c>
      <c r="T896" s="22">
        <v>18.229999500000002</v>
      </c>
      <c r="U896" s="22">
        <v>18.479999500000002</v>
      </c>
      <c r="V896" s="22">
        <v>18.149999600000001</v>
      </c>
      <c r="W896" s="22">
        <v>18.299999199999998</v>
      </c>
      <c r="X896" s="22">
        <v>13.5940294</v>
      </c>
      <c r="Y896" s="22">
        <v>380200</v>
      </c>
      <c r="Z896" s="22">
        <v>1.6417700000000001E-3</v>
      </c>
    </row>
    <row r="897" spans="19:26" ht="16" x14ac:dyDescent="0.2">
      <c r="S897" s="23">
        <v>43434</v>
      </c>
      <c r="T897" s="22">
        <v>17.9899998</v>
      </c>
      <c r="U897" s="22">
        <v>18.2600002</v>
      </c>
      <c r="V897" s="22">
        <v>17.860000599999999</v>
      </c>
      <c r="W897" s="22">
        <v>18.2600002</v>
      </c>
      <c r="X897" s="22">
        <v>13.8141832</v>
      </c>
      <c r="Y897" s="22">
        <v>565600</v>
      </c>
      <c r="Z897" s="22">
        <v>1.619489E-2</v>
      </c>
    </row>
    <row r="898" spans="19:26" ht="16" x14ac:dyDescent="0.2">
      <c r="S898" s="23">
        <v>43437</v>
      </c>
      <c r="T898" s="22">
        <v>18.3199997</v>
      </c>
      <c r="U898" s="22">
        <v>18.420000099999999</v>
      </c>
      <c r="V898" s="22">
        <v>18.209999100000001</v>
      </c>
      <c r="W898" s="22">
        <v>18.280000699999999</v>
      </c>
      <c r="X898" s="22">
        <v>13.8293161</v>
      </c>
      <c r="Y898" s="22">
        <v>229100</v>
      </c>
      <c r="Z898" s="22">
        <v>1.0954599999999999E-3</v>
      </c>
    </row>
    <row r="899" spans="19:26" ht="16" x14ac:dyDescent="0.2">
      <c r="S899" s="23">
        <v>43438</v>
      </c>
      <c r="T899" s="22">
        <v>18.299999199999998</v>
      </c>
      <c r="U899" s="22">
        <v>18.5599995</v>
      </c>
      <c r="V899" s="22">
        <v>17.9899998</v>
      </c>
      <c r="W899" s="22">
        <v>18.100000399999999</v>
      </c>
      <c r="X899" s="22">
        <v>13.693138100000001</v>
      </c>
      <c r="Y899" s="22">
        <v>790300</v>
      </c>
      <c r="Z899" s="22">
        <v>-9.8470999999999993E-3</v>
      </c>
    </row>
    <row r="900" spans="19:26" ht="16" x14ac:dyDescent="0.2">
      <c r="S900" s="23">
        <v>43440</v>
      </c>
      <c r="T900" s="22">
        <v>17.920000099999999</v>
      </c>
      <c r="U900" s="22">
        <v>18.1800003</v>
      </c>
      <c r="V900" s="22">
        <v>17.590000199999999</v>
      </c>
      <c r="W900" s="22">
        <v>18.1800003</v>
      </c>
      <c r="X900" s="22">
        <v>13.7536612</v>
      </c>
      <c r="Y900" s="22">
        <v>487400</v>
      </c>
      <c r="Z900" s="22">
        <v>4.4199499999999997E-3</v>
      </c>
    </row>
    <row r="901" spans="19:26" ht="16" x14ac:dyDescent="0.2">
      <c r="S901" s="23">
        <v>43441</v>
      </c>
      <c r="T901" s="22">
        <v>18.219999300000001</v>
      </c>
      <c r="U901" s="22">
        <v>18.4400005</v>
      </c>
      <c r="V901" s="22">
        <v>18.1299992</v>
      </c>
      <c r="W901" s="22">
        <v>18.229999500000002</v>
      </c>
      <c r="X901" s="22">
        <v>13.791483899999999</v>
      </c>
      <c r="Y901" s="22">
        <v>586500</v>
      </c>
      <c r="Z901" s="22">
        <v>2.7500100000000002E-3</v>
      </c>
    </row>
    <row r="902" spans="19:26" ht="16" x14ac:dyDescent="0.2">
      <c r="S902" s="23">
        <v>43444</v>
      </c>
      <c r="T902" s="22">
        <v>18.200000800000002</v>
      </c>
      <c r="U902" s="22">
        <v>18.229999500000002</v>
      </c>
      <c r="V902" s="22">
        <v>17.8799992</v>
      </c>
      <c r="W902" s="22">
        <v>18.049999199999998</v>
      </c>
      <c r="X902" s="22">
        <v>13.655308700000001</v>
      </c>
      <c r="Y902" s="22">
        <v>315300</v>
      </c>
      <c r="Z902" s="22">
        <v>-9.8738999999999997E-3</v>
      </c>
    </row>
    <row r="903" spans="19:26" ht="16" x14ac:dyDescent="0.2">
      <c r="S903" s="23">
        <v>43445</v>
      </c>
      <c r="T903" s="22">
        <v>18.1900005</v>
      </c>
      <c r="U903" s="22">
        <v>18.1900005</v>
      </c>
      <c r="V903" s="22">
        <v>17.829999900000001</v>
      </c>
      <c r="W903" s="22">
        <v>17.979999500000002</v>
      </c>
      <c r="X903" s="22">
        <v>13.602357899999999</v>
      </c>
      <c r="Y903" s="22">
        <v>387400</v>
      </c>
      <c r="Z903" s="22">
        <v>-3.8777E-3</v>
      </c>
    </row>
    <row r="904" spans="19:26" ht="16" x14ac:dyDescent="0.2">
      <c r="S904" s="23">
        <v>43446</v>
      </c>
      <c r="T904" s="22">
        <v>18.020000499999998</v>
      </c>
      <c r="U904" s="22">
        <v>18.209999100000001</v>
      </c>
      <c r="V904" s="22">
        <v>17.909999800000001</v>
      </c>
      <c r="W904" s="22">
        <v>18</v>
      </c>
      <c r="X904" s="22">
        <v>13.617487000000001</v>
      </c>
      <c r="Y904" s="22">
        <v>451900</v>
      </c>
      <c r="Z904" s="22">
        <v>1.11224E-3</v>
      </c>
    </row>
    <row r="905" spans="19:26" ht="16" x14ac:dyDescent="0.2">
      <c r="S905" s="23">
        <v>43447</v>
      </c>
      <c r="T905" s="22">
        <v>18.100000399999999</v>
      </c>
      <c r="U905" s="22">
        <v>18.4400005</v>
      </c>
      <c r="V905" s="22">
        <v>18.040000899999999</v>
      </c>
      <c r="W905" s="22">
        <v>18.280000699999999</v>
      </c>
      <c r="X905" s="22">
        <v>13.8293161</v>
      </c>
      <c r="Y905" s="22">
        <v>377100</v>
      </c>
      <c r="Z905" s="22">
        <v>1.5555670000000001E-2</v>
      </c>
    </row>
    <row r="906" spans="19:26" ht="16" x14ac:dyDescent="0.2">
      <c r="S906" s="23">
        <v>43448</v>
      </c>
      <c r="T906" s="22">
        <v>18.280000699999999</v>
      </c>
      <c r="U906" s="22">
        <v>18.409999800000001</v>
      </c>
      <c r="V906" s="22">
        <v>18.110000599999999</v>
      </c>
      <c r="W906" s="22">
        <v>18.2399998</v>
      </c>
      <c r="X906" s="22">
        <v>13.7990484</v>
      </c>
      <c r="Y906" s="22">
        <v>221100</v>
      </c>
      <c r="Z906" s="22">
        <v>-2.1887E-3</v>
      </c>
    </row>
    <row r="907" spans="19:26" ht="16" x14ac:dyDescent="0.2">
      <c r="S907" s="23">
        <v>43451</v>
      </c>
      <c r="T907" s="22">
        <v>18.25</v>
      </c>
      <c r="U907" s="22">
        <v>18.2600002</v>
      </c>
      <c r="V907" s="22">
        <v>17.329999900000001</v>
      </c>
      <c r="W907" s="22">
        <v>17.4300003</v>
      </c>
      <c r="X907" s="22">
        <v>13.186264</v>
      </c>
      <c r="Y907" s="22">
        <v>482500</v>
      </c>
      <c r="Z907" s="22">
        <v>-4.4407700000000001E-2</v>
      </c>
    </row>
    <row r="908" spans="19:26" ht="16" x14ac:dyDescent="0.2">
      <c r="S908" s="23">
        <v>43452</v>
      </c>
      <c r="T908" s="22">
        <v>17.5599995</v>
      </c>
      <c r="U908" s="22">
        <v>17.889999400000001</v>
      </c>
      <c r="V908" s="22">
        <v>17.290000899999999</v>
      </c>
      <c r="W908" s="22">
        <v>17.3099995</v>
      </c>
      <c r="X908" s="22">
        <v>13.095481899999999</v>
      </c>
      <c r="Y908" s="22">
        <v>450000</v>
      </c>
      <c r="Z908" s="22">
        <v>-6.8846000000000003E-3</v>
      </c>
    </row>
    <row r="909" spans="19:26" ht="16" x14ac:dyDescent="0.2">
      <c r="S909" s="23">
        <v>43453</v>
      </c>
      <c r="T909" s="22">
        <v>17.329999900000001</v>
      </c>
      <c r="U909" s="22">
        <v>17.479999500000002</v>
      </c>
      <c r="V909" s="22">
        <v>16.979999500000002</v>
      </c>
      <c r="W909" s="22">
        <v>17.170000099999999</v>
      </c>
      <c r="X909" s="22">
        <v>12.9895706</v>
      </c>
      <c r="Y909" s="22">
        <v>473300</v>
      </c>
      <c r="Z909" s="22">
        <v>-8.0876000000000003E-3</v>
      </c>
    </row>
    <row r="910" spans="19:26" ht="16" x14ac:dyDescent="0.2">
      <c r="S910" s="23">
        <v>43454</v>
      </c>
      <c r="T910" s="22">
        <v>17.200000800000002</v>
      </c>
      <c r="U910" s="22">
        <v>17.290000899999999</v>
      </c>
      <c r="V910" s="22">
        <v>16.6299992</v>
      </c>
      <c r="W910" s="22">
        <v>16.850000399999999</v>
      </c>
      <c r="X910" s="22">
        <v>12.747480400000001</v>
      </c>
      <c r="Y910" s="22">
        <v>558200</v>
      </c>
      <c r="Z910" s="22">
        <v>-1.8637299999999999E-2</v>
      </c>
    </row>
    <row r="911" spans="19:26" ht="16" x14ac:dyDescent="0.2">
      <c r="S911" s="23">
        <v>43455</v>
      </c>
      <c r="T911" s="22">
        <v>16.850000399999999</v>
      </c>
      <c r="U911" s="22">
        <v>17.110000599999999</v>
      </c>
      <c r="V911" s="22">
        <v>16.5100002</v>
      </c>
      <c r="W911" s="22">
        <v>16.590000199999999</v>
      </c>
      <c r="X911" s="22">
        <v>12.5507803</v>
      </c>
      <c r="Y911" s="22">
        <v>976700</v>
      </c>
      <c r="Z911" s="22">
        <v>-1.54305E-2</v>
      </c>
    </row>
    <row r="912" spans="19:26" ht="16" x14ac:dyDescent="0.2">
      <c r="S912" s="23">
        <v>43458</v>
      </c>
      <c r="T912" s="22">
        <v>16.579999900000001</v>
      </c>
      <c r="U912" s="22">
        <v>16.590000199999999</v>
      </c>
      <c r="V912" s="22">
        <v>15.949999800000001</v>
      </c>
      <c r="W912" s="22">
        <v>16.0100002</v>
      </c>
      <c r="X912" s="22">
        <v>12.1119957</v>
      </c>
      <c r="Y912" s="22">
        <v>187000</v>
      </c>
      <c r="Z912" s="22">
        <v>-3.4960699999999997E-2</v>
      </c>
    </row>
    <row r="913" spans="19:26" ht="16" x14ac:dyDescent="0.2">
      <c r="S913" s="23">
        <v>43460</v>
      </c>
      <c r="T913" s="22">
        <v>16.049999199999998</v>
      </c>
      <c r="U913" s="22">
        <v>16.920000099999999</v>
      </c>
      <c r="V913" s="22">
        <v>16.049999199999998</v>
      </c>
      <c r="W913" s="22">
        <v>16.899999600000001</v>
      </c>
      <c r="X913" s="22">
        <v>12.7853069</v>
      </c>
      <c r="Y913" s="22">
        <v>499500</v>
      </c>
      <c r="Z913" s="22">
        <v>5.559045E-2</v>
      </c>
    </row>
    <row r="914" spans="19:26" ht="16" x14ac:dyDescent="0.2">
      <c r="S914" s="23">
        <v>43461</v>
      </c>
      <c r="T914" s="22">
        <v>16.840000199999999</v>
      </c>
      <c r="U914" s="22">
        <v>16.899999600000001</v>
      </c>
      <c r="V914" s="22">
        <v>16.399999600000001</v>
      </c>
      <c r="W914" s="22">
        <v>16.8099995</v>
      </c>
      <c r="X914" s="22">
        <v>12.717217399999999</v>
      </c>
      <c r="Y914" s="22">
        <v>492200</v>
      </c>
      <c r="Z914" s="22">
        <v>-5.3255999999999998E-3</v>
      </c>
    </row>
    <row r="915" spans="19:26" ht="16" x14ac:dyDescent="0.2">
      <c r="S915" s="23">
        <v>43462</v>
      </c>
      <c r="T915" s="22">
        <v>16.8099995</v>
      </c>
      <c r="U915" s="22">
        <v>17.290000899999999</v>
      </c>
      <c r="V915" s="22">
        <v>16.770000499999998</v>
      </c>
      <c r="W915" s="22">
        <v>17.209999100000001</v>
      </c>
      <c r="X915" s="22">
        <v>13.019825900000001</v>
      </c>
      <c r="Y915" s="22">
        <v>465200</v>
      </c>
      <c r="Z915" s="22">
        <v>2.3795179999999999E-2</v>
      </c>
    </row>
    <row r="916" spans="19:26" ht="16" x14ac:dyDescent="0.2">
      <c r="S916" s="23">
        <v>43465</v>
      </c>
      <c r="T916" s="22">
        <v>17.3799992</v>
      </c>
      <c r="U916" s="22">
        <v>17.4400005</v>
      </c>
      <c r="V916" s="22">
        <v>17.170000099999999</v>
      </c>
      <c r="W916" s="22">
        <v>17.25</v>
      </c>
      <c r="X916" s="22">
        <v>13.0500927</v>
      </c>
      <c r="Y916" s="22">
        <v>417300</v>
      </c>
      <c r="Z916" s="22">
        <v>2.32467E-3</v>
      </c>
    </row>
    <row r="917" spans="19:26" ht="16" x14ac:dyDescent="0.2">
      <c r="S917" s="23">
        <v>43467</v>
      </c>
      <c r="T917" s="22">
        <v>17.049999199999998</v>
      </c>
      <c r="U917" s="22">
        <v>17.340000199999999</v>
      </c>
      <c r="V917" s="22">
        <v>16.840000199999999</v>
      </c>
      <c r="W917" s="22">
        <v>17.200000800000002</v>
      </c>
      <c r="X917" s="22">
        <v>13.0122652</v>
      </c>
      <c r="Y917" s="22">
        <v>605700</v>
      </c>
      <c r="Z917" s="22">
        <v>-2.8985999999999999E-3</v>
      </c>
    </row>
    <row r="918" spans="19:26" ht="16" x14ac:dyDescent="0.2">
      <c r="S918" s="23">
        <v>43468</v>
      </c>
      <c r="T918" s="22">
        <v>17.2600002</v>
      </c>
      <c r="U918" s="22">
        <v>17.3199997</v>
      </c>
      <c r="V918" s="22">
        <v>16.8799992</v>
      </c>
      <c r="W918" s="22">
        <v>17</v>
      </c>
      <c r="X918" s="22">
        <v>12.86096</v>
      </c>
      <c r="Y918" s="22">
        <v>454600</v>
      </c>
      <c r="Z918" s="22">
        <v>-1.16279E-2</v>
      </c>
    </row>
    <row r="919" spans="19:26" ht="16" x14ac:dyDescent="0.2">
      <c r="S919" s="23">
        <v>43469</v>
      </c>
      <c r="T919" s="22">
        <v>17</v>
      </c>
      <c r="U919" s="22">
        <v>17.6299992</v>
      </c>
      <c r="V919" s="22">
        <v>16.9899998</v>
      </c>
      <c r="W919" s="22">
        <v>17.6299992</v>
      </c>
      <c r="X919" s="22">
        <v>13.3375702</v>
      </c>
      <c r="Y919" s="22">
        <v>572100</v>
      </c>
      <c r="Z919" s="22">
        <v>3.7058679999999997E-2</v>
      </c>
    </row>
    <row r="920" spans="19:26" ht="16" x14ac:dyDescent="0.2">
      <c r="S920" s="23">
        <v>43472</v>
      </c>
      <c r="T920" s="22">
        <v>17.229999500000002</v>
      </c>
      <c r="U920" s="22">
        <v>17.450000800000002</v>
      </c>
      <c r="V920" s="22">
        <v>16.420000099999999</v>
      </c>
      <c r="W920" s="22">
        <v>16.920000099999999</v>
      </c>
      <c r="X920" s="22">
        <v>12.800437000000001</v>
      </c>
      <c r="Y920" s="22">
        <v>1579600</v>
      </c>
      <c r="Z920" s="22">
        <v>-4.0272200000000001E-2</v>
      </c>
    </row>
    <row r="921" spans="19:26" ht="16" x14ac:dyDescent="0.2">
      <c r="S921" s="23">
        <v>43473</v>
      </c>
      <c r="T921" s="22">
        <v>16.9300003</v>
      </c>
      <c r="U921" s="22">
        <v>17.020000499999998</v>
      </c>
      <c r="V921" s="22">
        <v>15.970000300000001</v>
      </c>
      <c r="W921" s="22">
        <v>15.9799995</v>
      </c>
      <c r="X921" s="22">
        <v>12.089299199999999</v>
      </c>
      <c r="Y921" s="22">
        <v>2758400</v>
      </c>
      <c r="Z921" s="22">
        <v>-5.55557E-2</v>
      </c>
    </row>
    <row r="922" spans="19:26" ht="16" x14ac:dyDescent="0.2">
      <c r="S922" s="23">
        <v>43474</v>
      </c>
      <c r="T922" s="22">
        <v>16.030000699999999</v>
      </c>
      <c r="U922" s="22">
        <v>16.1800003</v>
      </c>
      <c r="V922" s="22">
        <v>15.899999599999999</v>
      </c>
      <c r="W922" s="22">
        <v>16.079999900000001</v>
      </c>
      <c r="X922" s="22">
        <v>12.164953199999999</v>
      </c>
      <c r="Y922" s="22">
        <v>1598800</v>
      </c>
      <c r="Z922" s="22">
        <v>6.2579300000000001E-3</v>
      </c>
    </row>
    <row r="923" spans="19:26" ht="16" x14ac:dyDescent="0.2">
      <c r="S923" s="23">
        <v>43475</v>
      </c>
      <c r="T923" s="22">
        <v>16.079999900000001</v>
      </c>
      <c r="U923" s="22">
        <v>16.799999199999998</v>
      </c>
      <c r="V923" s="22">
        <v>16.030000699999999</v>
      </c>
      <c r="W923" s="22">
        <v>16.4400005</v>
      </c>
      <c r="X923" s="22">
        <v>12.437302600000001</v>
      </c>
      <c r="Y923" s="22">
        <v>1653900</v>
      </c>
      <c r="Z923" s="22">
        <v>2.238803E-2</v>
      </c>
    </row>
    <row r="924" spans="19:26" ht="16" x14ac:dyDescent="0.2">
      <c r="S924" s="23">
        <v>43476</v>
      </c>
      <c r="T924" s="22">
        <v>16.450000800000002</v>
      </c>
      <c r="U924" s="22">
        <v>16.4899998</v>
      </c>
      <c r="V924" s="22">
        <v>16.020000499999998</v>
      </c>
      <c r="W924" s="22">
        <v>16.2399998</v>
      </c>
      <c r="X924" s="22">
        <v>12.2859964</v>
      </c>
      <c r="Y924" s="22">
        <v>1725100</v>
      </c>
      <c r="Z924" s="22">
        <v>-1.2165499999999999E-2</v>
      </c>
    </row>
    <row r="925" spans="19:26" ht="16" x14ac:dyDescent="0.2">
      <c r="S925" s="23">
        <v>43479</v>
      </c>
      <c r="T925" s="22">
        <v>15</v>
      </c>
      <c r="U925" s="22">
        <v>15.0100002</v>
      </c>
      <c r="V925" s="22">
        <v>14.25</v>
      </c>
      <c r="W925" s="22">
        <v>14.300000199999999</v>
      </c>
      <c r="X925" s="22">
        <v>10.8183355</v>
      </c>
      <c r="Y925" s="22">
        <v>3176100</v>
      </c>
      <c r="Z925" s="22">
        <v>-0.11945799999999999</v>
      </c>
    </row>
    <row r="926" spans="19:26" ht="16" x14ac:dyDescent="0.2">
      <c r="S926" s="23">
        <v>43480</v>
      </c>
      <c r="T926" s="22">
        <v>14.279999699999999</v>
      </c>
      <c r="U926" s="22">
        <v>14.3800001</v>
      </c>
      <c r="V926" s="22">
        <v>13.4399996</v>
      </c>
      <c r="W926" s="22">
        <v>14.0900002</v>
      </c>
      <c r="X926" s="22">
        <v>10.6594648</v>
      </c>
      <c r="Y926" s="22">
        <v>2144400</v>
      </c>
      <c r="Z926" s="22">
        <v>-1.46853E-2</v>
      </c>
    </row>
    <row r="927" spans="19:26" ht="16" x14ac:dyDescent="0.2">
      <c r="S927" s="23">
        <v>43481</v>
      </c>
      <c r="T927" s="22">
        <v>14.100000400000001</v>
      </c>
      <c r="U927" s="22">
        <v>14.5600004</v>
      </c>
      <c r="V927" s="22">
        <v>14.0900002</v>
      </c>
      <c r="W927" s="22">
        <v>14.3800001</v>
      </c>
      <c r="X927" s="22">
        <v>10.8788576</v>
      </c>
      <c r="Y927" s="22">
        <v>836000</v>
      </c>
      <c r="Z927" s="22">
        <v>2.0581970000000002E-2</v>
      </c>
    </row>
    <row r="928" spans="19:26" ht="16" x14ac:dyDescent="0.2">
      <c r="S928" s="23">
        <v>43482</v>
      </c>
      <c r="T928" s="22">
        <v>14.5600004</v>
      </c>
      <c r="U928" s="22">
        <v>15.0900002</v>
      </c>
      <c r="V928" s="22">
        <v>14.399999599999999</v>
      </c>
      <c r="W928" s="22">
        <v>15.0200005</v>
      </c>
      <c r="X928" s="22">
        <v>11.3630342</v>
      </c>
      <c r="Y928" s="22">
        <v>1594300</v>
      </c>
      <c r="Z928" s="22">
        <v>4.4506200000000003E-2</v>
      </c>
    </row>
    <row r="929" spans="19:26" ht="16" x14ac:dyDescent="0.2">
      <c r="S929" s="23">
        <v>43483</v>
      </c>
      <c r="T929" s="22">
        <v>14.9399996</v>
      </c>
      <c r="U929" s="22">
        <v>15.449999800000001</v>
      </c>
      <c r="V929" s="22">
        <v>14.9399996</v>
      </c>
      <c r="W929" s="22">
        <v>15.350000400000001</v>
      </c>
      <c r="X929" s="22">
        <v>11.6126871</v>
      </c>
      <c r="Y929" s="22">
        <v>1404200</v>
      </c>
      <c r="Z929" s="22">
        <v>2.197062E-2</v>
      </c>
    </row>
    <row r="930" spans="19:26" ht="16" x14ac:dyDescent="0.2">
      <c r="S930" s="23">
        <v>43487</v>
      </c>
      <c r="T930" s="22">
        <v>15.3199997</v>
      </c>
      <c r="U930" s="22">
        <v>15.329999900000001</v>
      </c>
      <c r="V930" s="22">
        <v>15.050000199999999</v>
      </c>
      <c r="W930" s="22">
        <v>15.170000099999999</v>
      </c>
      <c r="X930" s="22">
        <v>11.4765148</v>
      </c>
      <c r="Y930" s="22">
        <v>537500</v>
      </c>
      <c r="Z930" s="22">
        <v>-1.1726200000000001E-2</v>
      </c>
    </row>
    <row r="931" spans="19:26" ht="16" x14ac:dyDescent="0.2">
      <c r="S931" s="23">
        <v>43488</v>
      </c>
      <c r="T931" s="22">
        <v>15.1800003</v>
      </c>
      <c r="U931" s="22">
        <v>15.649999599999999</v>
      </c>
      <c r="V931" s="22">
        <v>15.1800003</v>
      </c>
      <c r="W931" s="22">
        <v>15.550000199999999</v>
      </c>
      <c r="X931" s="22">
        <v>11.763997099999999</v>
      </c>
      <c r="Y931" s="22">
        <v>783800</v>
      </c>
      <c r="Z931" s="22">
        <v>2.504961E-2</v>
      </c>
    </row>
    <row r="932" spans="19:26" ht="16" x14ac:dyDescent="0.2">
      <c r="S932" s="23">
        <v>43489</v>
      </c>
      <c r="T932" s="22">
        <v>15.550000199999999</v>
      </c>
      <c r="U932" s="22">
        <v>17.350000399999999</v>
      </c>
      <c r="V932" s="22">
        <v>15.4899998</v>
      </c>
      <c r="W932" s="22">
        <v>16.149999600000001</v>
      </c>
      <c r="X932" s="22">
        <v>12.2179108</v>
      </c>
      <c r="Y932" s="22">
        <v>2216800</v>
      </c>
      <c r="Z932" s="22">
        <v>3.858499E-2</v>
      </c>
    </row>
    <row r="933" spans="19:26" ht="16" x14ac:dyDescent="0.2">
      <c r="S933" s="23">
        <v>43490</v>
      </c>
      <c r="T933" s="22">
        <v>16.139999400000001</v>
      </c>
      <c r="U933" s="22">
        <v>16.139999400000001</v>
      </c>
      <c r="V933" s="22">
        <v>15.109999699999999</v>
      </c>
      <c r="W933" s="22">
        <v>15.140000300000001</v>
      </c>
      <c r="X933" s="22">
        <v>11.4538183</v>
      </c>
      <c r="Y933" s="22">
        <v>1276900</v>
      </c>
      <c r="Z933" s="22">
        <v>-6.2538700000000003E-2</v>
      </c>
    </row>
    <row r="934" spans="19:26" ht="16" x14ac:dyDescent="0.2">
      <c r="S934" s="23">
        <v>43493</v>
      </c>
      <c r="T934" s="22">
        <v>15.0900002</v>
      </c>
      <c r="U934" s="22">
        <v>15.800000199999999</v>
      </c>
      <c r="V934" s="22">
        <v>15.050000199999999</v>
      </c>
      <c r="W934" s="22">
        <v>15.25</v>
      </c>
      <c r="X934" s="22">
        <v>11.5370369</v>
      </c>
      <c r="Y934" s="22">
        <v>1233300</v>
      </c>
      <c r="Z934" s="22">
        <v>7.2655699999999998E-3</v>
      </c>
    </row>
    <row r="935" spans="19:26" ht="16" x14ac:dyDescent="0.2">
      <c r="S935" s="23">
        <v>43494</v>
      </c>
      <c r="T935" s="22">
        <v>15.3699999</v>
      </c>
      <c r="U935" s="22">
        <v>15.550000199999999</v>
      </c>
      <c r="V935" s="22">
        <v>15.0900002</v>
      </c>
      <c r="W935" s="22">
        <v>15.279999699999999</v>
      </c>
      <c r="X935" s="22">
        <v>11.5597315</v>
      </c>
      <c r="Y935" s="22">
        <v>708600</v>
      </c>
      <c r="Z935" s="22">
        <v>1.9671100000000002E-3</v>
      </c>
    </row>
    <row r="936" spans="19:26" ht="16" x14ac:dyDescent="0.2">
      <c r="S936" s="23">
        <v>43495</v>
      </c>
      <c r="T936" s="22">
        <v>15.4099998</v>
      </c>
      <c r="U936" s="22">
        <v>15.4399996</v>
      </c>
      <c r="V936" s="22">
        <v>14.779999699999999</v>
      </c>
      <c r="W936" s="22">
        <v>14.800000199999999</v>
      </c>
      <c r="X936" s="22">
        <v>11.1966</v>
      </c>
      <c r="Y936" s="22">
        <v>926400</v>
      </c>
      <c r="Z936" s="22">
        <v>-3.1413499999999997E-2</v>
      </c>
    </row>
    <row r="937" spans="19:26" ht="16" x14ac:dyDescent="0.2">
      <c r="S937" s="23">
        <v>43496</v>
      </c>
      <c r="T937" s="22">
        <v>14.850000400000001</v>
      </c>
      <c r="U937" s="22">
        <v>15.1899996</v>
      </c>
      <c r="V937" s="22">
        <v>14.8199997</v>
      </c>
      <c r="W937" s="22">
        <v>15.0900002</v>
      </c>
      <c r="X937" s="22">
        <v>11.4159927</v>
      </c>
      <c r="Y937" s="22">
        <v>1089200</v>
      </c>
      <c r="Z937" s="22">
        <v>1.9594589999999999E-2</v>
      </c>
    </row>
    <row r="938" spans="19:26" ht="16" x14ac:dyDescent="0.2">
      <c r="S938" s="23">
        <v>43497</v>
      </c>
      <c r="T938" s="22">
        <v>15.0200005</v>
      </c>
      <c r="U938" s="22">
        <v>15.170000099999999</v>
      </c>
      <c r="V938" s="22">
        <v>14.920000099999999</v>
      </c>
      <c r="W938" s="22">
        <v>15.100000400000001</v>
      </c>
      <c r="X938" s="22">
        <v>11.4235563</v>
      </c>
      <c r="Y938" s="22">
        <v>673300</v>
      </c>
      <c r="Z938" s="22">
        <v>6.6253999999999998E-4</v>
      </c>
    </row>
    <row r="939" spans="19:26" ht="16" x14ac:dyDescent="0.2">
      <c r="S939" s="23">
        <v>43500</v>
      </c>
      <c r="T939" s="22">
        <v>15.199999800000001</v>
      </c>
      <c r="U939" s="22">
        <v>15.2700005</v>
      </c>
      <c r="V939" s="22">
        <v>14.920000099999999</v>
      </c>
      <c r="W939" s="22">
        <v>15.04</v>
      </c>
      <c r="X939" s="22">
        <v>11.378166200000001</v>
      </c>
      <c r="Y939" s="22">
        <v>841500</v>
      </c>
      <c r="Z939" s="22">
        <v>-3.9734000000000002E-3</v>
      </c>
    </row>
    <row r="940" spans="19:26" ht="16" x14ac:dyDescent="0.2">
      <c r="S940" s="23">
        <v>43501</v>
      </c>
      <c r="T940" s="22">
        <v>15</v>
      </c>
      <c r="U940" s="22">
        <v>15.079999900000001</v>
      </c>
      <c r="V940" s="22">
        <v>14.100000400000001</v>
      </c>
      <c r="W940" s="22">
        <v>14.2399998</v>
      </c>
      <c r="X940" s="22">
        <v>10.7729435</v>
      </c>
      <c r="Y940" s="22">
        <v>1883900</v>
      </c>
      <c r="Z940" s="22">
        <v>-5.3191599999999999E-2</v>
      </c>
    </row>
    <row r="941" spans="19:26" ht="16" x14ac:dyDescent="0.2">
      <c r="S941" s="23">
        <v>43502</v>
      </c>
      <c r="T941" s="22">
        <v>14.25</v>
      </c>
      <c r="U941" s="22">
        <v>14.3199997</v>
      </c>
      <c r="V941" s="22">
        <v>14.0900002</v>
      </c>
      <c r="W941" s="22">
        <v>14.25</v>
      </c>
      <c r="X941" s="22">
        <v>10.7805099</v>
      </c>
      <c r="Y941" s="22">
        <v>1078200</v>
      </c>
      <c r="Z941" s="22">
        <v>7.0235999999999996E-4</v>
      </c>
    </row>
    <row r="942" spans="19:26" ht="16" x14ac:dyDescent="0.2">
      <c r="S942" s="23">
        <v>43503</v>
      </c>
      <c r="T942" s="22">
        <v>14.2399998</v>
      </c>
      <c r="U942" s="22">
        <v>14.4099998</v>
      </c>
      <c r="V942" s="22">
        <v>14.1599998</v>
      </c>
      <c r="W942" s="22">
        <v>14.399999599999999</v>
      </c>
      <c r="X942" s="22">
        <v>10.893990499999999</v>
      </c>
      <c r="Y942" s="22">
        <v>1169900</v>
      </c>
      <c r="Z942" s="22">
        <v>1.052646E-2</v>
      </c>
    </row>
    <row r="943" spans="19:26" ht="16" x14ac:dyDescent="0.2">
      <c r="S943" s="23">
        <v>43504</v>
      </c>
      <c r="T943" s="22">
        <v>14.420000099999999</v>
      </c>
      <c r="U943" s="22">
        <v>14.6899996</v>
      </c>
      <c r="V943" s="22">
        <v>14.390000300000001</v>
      </c>
      <c r="W943" s="22">
        <v>14.4300003</v>
      </c>
      <c r="X943" s="22">
        <v>10.916684200000001</v>
      </c>
      <c r="Y943" s="22">
        <v>1194800</v>
      </c>
      <c r="Z943" s="22">
        <v>2.0831299999999999E-3</v>
      </c>
    </row>
    <row r="944" spans="19:26" ht="16" x14ac:dyDescent="0.2">
      <c r="S944" s="23">
        <v>43507</v>
      </c>
      <c r="T944" s="22">
        <v>14.5</v>
      </c>
      <c r="U944" s="22">
        <v>14.6899996</v>
      </c>
      <c r="V944" s="22">
        <v>14.2299995</v>
      </c>
      <c r="W944" s="22">
        <v>14.640000300000001</v>
      </c>
      <c r="X944" s="22">
        <v>11.0755558</v>
      </c>
      <c r="Y944" s="22">
        <v>1772000</v>
      </c>
      <c r="Z944" s="22">
        <v>1.4553099999999999E-2</v>
      </c>
    </row>
    <row r="945" spans="19:26" ht="16" x14ac:dyDescent="0.2">
      <c r="S945" s="23">
        <v>43508</v>
      </c>
      <c r="T945" s="22">
        <v>14.699999800000001</v>
      </c>
      <c r="U945" s="22">
        <v>14.800000199999999</v>
      </c>
      <c r="V945" s="22">
        <v>14.5699997</v>
      </c>
      <c r="W945" s="22">
        <v>14.6800003</v>
      </c>
      <c r="X945" s="22">
        <v>11.105817800000001</v>
      </c>
      <c r="Y945" s="22">
        <v>584200</v>
      </c>
      <c r="Z945" s="22">
        <v>2.7323199999999999E-3</v>
      </c>
    </row>
    <row r="946" spans="19:26" ht="16" x14ac:dyDescent="0.2">
      <c r="S946" s="23">
        <v>43509</v>
      </c>
      <c r="T946" s="22">
        <v>14.1800003</v>
      </c>
      <c r="U946" s="22">
        <v>14.359999699999999</v>
      </c>
      <c r="V946" s="22">
        <v>13.2600002</v>
      </c>
      <c r="W946" s="22">
        <v>13.399999599999999</v>
      </c>
      <c r="X946" s="22">
        <v>10.137461699999999</v>
      </c>
      <c r="Y946" s="22">
        <v>4053300</v>
      </c>
      <c r="Z946" s="22">
        <v>-8.7193599999999996E-2</v>
      </c>
    </row>
    <row r="947" spans="19:26" ht="16" x14ac:dyDescent="0.2">
      <c r="S947" s="23">
        <v>43510</v>
      </c>
      <c r="T947" s="22">
        <v>12.199999800000001</v>
      </c>
      <c r="U947" s="22">
        <v>14.359999699999999</v>
      </c>
      <c r="V947" s="22">
        <v>12.1199999</v>
      </c>
      <c r="W947" s="22">
        <v>14.149999599999999</v>
      </c>
      <c r="X947" s="22">
        <v>10.704855</v>
      </c>
      <c r="Y947" s="22">
        <v>7129700</v>
      </c>
      <c r="Z947" s="22">
        <v>5.5969959999999999E-2</v>
      </c>
    </row>
    <row r="948" spans="19:26" ht="16" x14ac:dyDescent="0.2">
      <c r="S948" s="23">
        <v>43511</v>
      </c>
      <c r="T948" s="22">
        <v>13.75</v>
      </c>
      <c r="U948" s="22">
        <v>14.859999699999999</v>
      </c>
      <c r="V948" s="22">
        <v>13.71</v>
      </c>
      <c r="W948" s="22">
        <v>14.5100002</v>
      </c>
      <c r="X948" s="22">
        <v>10.977206199999999</v>
      </c>
      <c r="Y948" s="22">
        <v>1784100</v>
      </c>
      <c r="Z948" s="22">
        <v>2.5441849999999998E-2</v>
      </c>
    </row>
    <row r="949" spans="19:26" ht="16" x14ac:dyDescent="0.2">
      <c r="S949" s="23">
        <v>43515</v>
      </c>
      <c r="T949" s="22">
        <v>14.420000099999999</v>
      </c>
      <c r="U949" s="22">
        <v>14.5</v>
      </c>
      <c r="V949" s="22">
        <v>14.0200005</v>
      </c>
      <c r="W949" s="22">
        <v>14.29</v>
      </c>
      <c r="X949" s="22">
        <v>10.81077</v>
      </c>
      <c r="Y949" s="22">
        <v>1402500</v>
      </c>
      <c r="Z949" s="22">
        <v>-1.5162E-2</v>
      </c>
    </row>
    <row r="950" spans="19:26" ht="16" x14ac:dyDescent="0.2">
      <c r="S950" s="23">
        <v>43516</v>
      </c>
      <c r="T950" s="22">
        <v>14.1800003</v>
      </c>
      <c r="U950" s="22">
        <v>14.649999599999999</v>
      </c>
      <c r="V950" s="22">
        <v>14.1300001</v>
      </c>
      <c r="W950" s="22">
        <v>14.2299995</v>
      </c>
      <c r="X950" s="22">
        <v>10.765378999999999</v>
      </c>
      <c r="Y950" s="22">
        <v>1507500</v>
      </c>
      <c r="Z950" s="22">
        <v>-4.1986999999999997E-3</v>
      </c>
    </row>
    <row r="951" spans="19:26" ht="16" x14ac:dyDescent="0.2">
      <c r="S951" s="23">
        <v>43517</v>
      </c>
      <c r="T951" s="22">
        <v>14.2399998</v>
      </c>
      <c r="U951" s="22">
        <v>14.46</v>
      </c>
      <c r="V951" s="22">
        <v>14.199999800000001</v>
      </c>
      <c r="W951" s="22">
        <v>14.4399996</v>
      </c>
      <c r="X951" s="22">
        <v>10.9242477</v>
      </c>
      <c r="Y951" s="22">
        <v>876500</v>
      </c>
      <c r="Z951" s="22">
        <v>1.475738E-2</v>
      </c>
    </row>
    <row r="952" spans="19:26" ht="16" x14ac:dyDescent="0.2">
      <c r="S952" s="23">
        <v>43518</v>
      </c>
      <c r="T952" s="22">
        <v>14.4899998</v>
      </c>
      <c r="U952" s="22">
        <v>14.649999599999999</v>
      </c>
      <c r="V952" s="22">
        <v>14.3699999</v>
      </c>
      <c r="W952" s="22">
        <v>14.600000400000001</v>
      </c>
      <c r="X952" s="22">
        <v>11.0452929</v>
      </c>
      <c r="Y952" s="22">
        <v>759900</v>
      </c>
      <c r="Z952" s="22">
        <v>1.1080410000000001E-2</v>
      </c>
    </row>
    <row r="953" spans="19:26" ht="16" x14ac:dyDescent="0.2">
      <c r="S953" s="23">
        <v>43521</v>
      </c>
      <c r="T953" s="22">
        <v>14.5699997</v>
      </c>
      <c r="U953" s="22">
        <v>14.720000300000001</v>
      </c>
      <c r="V953" s="22">
        <v>14.399999599999999</v>
      </c>
      <c r="W953" s="22">
        <v>14.54</v>
      </c>
      <c r="X953" s="22">
        <v>10.9999018</v>
      </c>
      <c r="Y953" s="22">
        <v>922800</v>
      </c>
      <c r="Z953" s="22">
        <v>-4.1095000000000003E-3</v>
      </c>
    </row>
    <row r="954" spans="19:26" ht="16" x14ac:dyDescent="0.2">
      <c r="S954" s="23">
        <v>43522</v>
      </c>
      <c r="T954" s="22">
        <v>14.54</v>
      </c>
      <c r="U954" s="22">
        <v>14.609999699999999</v>
      </c>
      <c r="V954" s="22">
        <v>14.4099998</v>
      </c>
      <c r="W954" s="22">
        <v>14.5</v>
      </c>
      <c r="X954" s="22">
        <v>10.969640699999999</v>
      </c>
      <c r="Y954" s="22">
        <v>717300</v>
      </c>
      <c r="Z954" s="22">
        <v>-2.751E-3</v>
      </c>
    </row>
    <row r="955" spans="19:26" ht="16" x14ac:dyDescent="0.2">
      <c r="S955" s="23">
        <v>43523</v>
      </c>
      <c r="T955" s="22">
        <v>14.449999800000001</v>
      </c>
      <c r="U955" s="22">
        <v>15</v>
      </c>
      <c r="V955" s="22">
        <v>14.4099998</v>
      </c>
      <c r="W955" s="22">
        <v>14.829999900000001</v>
      </c>
      <c r="X955" s="22">
        <v>11.219295499999999</v>
      </c>
      <c r="Y955" s="22">
        <v>1329800</v>
      </c>
      <c r="Z955" s="22">
        <v>2.27587E-2</v>
      </c>
    </row>
    <row r="956" spans="19:26" ht="16" x14ac:dyDescent="0.2">
      <c r="S956" s="23">
        <v>43524</v>
      </c>
      <c r="T956" s="22">
        <v>14.449999800000001</v>
      </c>
      <c r="U956" s="22">
        <v>15.079999900000001</v>
      </c>
      <c r="V956" s="22">
        <v>14.21</v>
      </c>
      <c r="W956" s="22">
        <v>14.9899998</v>
      </c>
      <c r="X956" s="22">
        <v>11.495367999999999</v>
      </c>
      <c r="Y956" s="22">
        <v>1567300</v>
      </c>
      <c r="Z956" s="22">
        <v>2.4606940000000001E-2</v>
      </c>
    </row>
    <row r="957" spans="19:26" ht="16" x14ac:dyDescent="0.2">
      <c r="S957" s="23">
        <v>43525</v>
      </c>
      <c r="T957" s="22">
        <v>15.0600004</v>
      </c>
      <c r="U957" s="22">
        <v>15.1899996</v>
      </c>
      <c r="V957" s="22">
        <v>14.5100002</v>
      </c>
      <c r="W957" s="22">
        <v>14.5100002</v>
      </c>
      <c r="X957" s="22">
        <v>11.1272717</v>
      </c>
      <c r="Y957" s="22">
        <v>1312200</v>
      </c>
      <c r="Z957" s="22">
        <v>-3.2021300000000003E-2</v>
      </c>
    </row>
    <row r="958" spans="19:26" ht="16" x14ac:dyDescent="0.2">
      <c r="S958" s="23">
        <v>43528</v>
      </c>
      <c r="T958" s="22">
        <v>14.550000199999999</v>
      </c>
      <c r="U958" s="22">
        <v>14.8400002</v>
      </c>
      <c r="V958" s="22">
        <v>14.420000099999999</v>
      </c>
      <c r="W958" s="22">
        <v>14.8100004</v>
      </c>
      <c r="X958" s="22">
        <v>11.357330299999999</v>
      </c>
      <c r="Y958" s="22">
        <v>739000</v>
      </c>
      <c r="Z958" s="22">
        <v>2.0675209999999999E-2</v>
      </c>
    </row>
    <row r="959" spans="19:26" ht="16" x14ac:dyDescent="0.2">
      <c r="S959" s="23">
        <v>43529</v>
      </c>
      <c r="T959" s="22">
        <v>14.7700005</v>
      </c>
      <c r="U959" s="22">
        <v>14.8699999</v>
      </c>
      <c r="V959" s="22">
        <v>14.609999699999999</v>
      </c>
      <c r="W959" s="22">
        <v>14.79</v>
      </c>
      <c r="X959" s="22">
        <v>11.3419933</v>
      </c>
      <c r="Y959" s="22">
        <v>796000</v>
      </c>
      <c r="Z959" s="22">
        <v>-1.3504000000000001E-3</v>
      </c>
    </row>
    <row r="960" spans="19:26" ht="16" x14ac:dyDescent="0.2">
      <c r="S960" s="23">
        <v>43530</v>
      </c>
      <c r="T960" s="22">
        <v>14.9300003</v>
      </c>
      <c r="U960" s="22">
        <v>15.390000300000001</v>
      </c>
      <c r="V960" s="22">
        <v>14.800000199999999</v>
      </c>
      <c r="W960" s="22">
        <v>15.109999699999999</v>
      </c>
      <c r="X960" s="22">
        <v>11.5873928</v>
      </c>
      <c r="Y960" s="22">
        <v>1921300</v>
      </c>
      <c r="Z960" s="22">
        <v>2.163636E-2</v>
      </c>
    </row>
    <row r="961" spans="19:26" ht="16" x14ac:dyDescent="0.2">
      <c r="S961" s="23">
        <v>43531</v>
      </c>
      <c r="T961" s="22">
        <v>15.100000400000001</v>
      </c>
      <c r="U961" s="22">
        <v>15.199999800000001</v>
      </c>
      <c r="V961" s="22">
        <v>14.829999900000001</v>
      </c>
      <c r="W961" s="22">
        <v>14.850000400000001</v>
      </c>
      <c r="X961" s="22">
        <v>11.3880053</v>
      </c>
      <c r="Y961" s="22">
        <v>497500</v>
      </c>
      <c r="Z961" s="22">
        <v>-1.7207299999999998E-2</v>
      </c>
    </row>
    <row r="962" spans="19:26" ht="16" x14ac:dyDescent="0.2">
      <c r="S962" s="23">
        <v>43532</v>
      </c>
      <c r="T962" s="22">
        <v>14.8100004</v>
      </c>
      <c r="U962" s="22">
        <v>14.899999599999999</v>
      </c>
      <c r="V962" s="22">
        <v>14.640000300000001</v>
      </c>
      <c r="W962" s="22">
        <v>14.7600002</v>
      </c>
      <c r="X962" s="22">
        <v>11.3189888</v>
      </c>
      <c r="Y962" s="22">
        <v>461200</v>
      </c>
      <c r="Z962" s="22">
        <v>-6.0604999999999999E-3</v>
      </c>
    </row>
    <row r="963" spans="19:26" ht="16" x14ac:dyDescent="0.2">
      <c r="S963" s="23">
        <v>43535</v>
      </c>
      <c r="T963" s="22">
        <v>14.949999800000001</v>
      </c>
      <c r="U963" s="22">
        <v>15.2600002</v>
      </c>
      <c r="V963" s="22">
        <v>14.949999800000001</v>
      </c>
      <c r="W963" s="22">
        <v>15.199999800000001</v>
      </c>
      <c r="X963" s="22">
        <v>11.656411200000001</v>
      </c>
      <c r="Y963" s="22">
        <v>790000</v>
      </c>
      <c r="Z963" s="22">
        <v>2.981029E-2</v>
      </c>
    </row>
    <row r="964" spans="19:26" ht="16" x14ac:dyDescent="0.2">
      <c r="S964" s="23">
        <v>43536</v>
      </c>
      <c r="T964" s="22">
        <v>15.2299995</v>
      </c>
      <c r="U964" s="22">
        <v>15.279999699999999</v>
      </c>
      <c r="V964" s="22">
        <v>14.9899998</v>
      </c>
      <c r="W964" s="22">
        <v>15.1599998</v>
      </c>
      <c r="X964" s="22">
        <v>11.625735300000001</v>
      </c>
      <c r="Y964" s="22">
        <v>495400</v>
      </c>
      <c r="Z964" s="22">
        <v>-2.6316999999999998E-3</v>
      </c>
    </row>
    <row r="965" spans="19:26" ht="16" x14ac:dyDescent="0.2">
      <c r="S965" s="23">
        <v>43537</v>
      </c>
      <c r="T965" s="22">
        <v>15.1800003</v>
      </c>
      <c r="U965" s="22">
        <v>15.29</v>
      </c>
      <c r="V965" s="22">
        <v>14.9399996</v>
      </c>
      <c r="W965" s="22">
        <v>14.949999800000001</v>
      </c>
      <c r="X965" s="22">
        <v>11.464691200000001</v>
      </c>
      <c r="Y965" s="22">
        <v>604400</v>
      </c>
      <c r="Z965" s="22">
        <v>-1.3852400000000001E-2</v>
      </c>
    </row>
    <row r="966" spans="19:26" ht="16" x14ac:dyDescent="0.2">
      <c r="S966" s="23">
        <v>43538</v>
      </c>
      <c r="T966" s="22">
        <v>14.9099998</v>
      </c>
      <c r="U966" s="22">
        <v>14.9300003</v>
      </c>
      <c r="V966" s="22">
        <v>14.6199999</v>
      </c>
      <c r="W966" s="22">
        <v>14.6899996</v>
      </c>
      <c r="X966" s="22">
        <v>11.265306499999999</v>
      </c>
      <c r="Y966" s="22">
        <v>645900</v>
      </c>
      <c r="Z966" s="22">
        <v>-1.7391199999999999E-2</v>
      </c>
    </row>
    <row r="967" spans="19:26" ht="16" x14ac:dyDescent="0.2">
      <c r="S967" s="23">
        <v>43539</v>
      </c>
      <c r="T967" s="22">
        <v>14.649999599999999</v>
      </c>
      <c r="U967" s="22">
        <v>14.829999900000001</v>
      </c>
      <c r="V967" s="22">
        <v>14.54</v>
      </c>
      <c r="W967" s="22">
        <v>14.720000300000001</v>
      </c>
      <c r="X967" s="22">
        <v>11.288312899999999</v>
      </c>
      <c r="Y967" s="22">
        <v>859200</v>
      </c>
      <c r="Z967" s="22">
        <v>2.0422399999999999E-3</v>
      </c>
    </row>
    <row r="968" spans="19:26" ht="16" x14ac:dyDescent="0.2">
      <c r="S968" s="23">
        <v>43542</v>
      </c>
      <c r="T968" s="22">
        <v>14.6899996</v>
      </c>
      <c r="U968" s="22">
        <v>14.850000400000001</v>
      </c>
      <c r="V968" s="22">
        <v>14.609999699999999</v>
      </c>
      <c r="W968" s="22">
        <v>14.7299995</v>
      </c>
      <c r="X968" s="22">
        <v>11.295981400000001</v>
      </c>
      <c r="Y968" s="22">
        <v>304400</v>
      </c>
      <c r="Z968" s="22">
        <v>6.7933000000000002E-4</v>
      </c>
    </row>
    <row r="969" spans="19:26" ht="16" x14ac:dyDescent="0.2">
      <c r="S969" s="23">
        <v>43543</v>
      </c>
      <c r="T969" s="22">
        <v>14.699999800000001</v>
      </c>
      <c r="U969" s="22">
        <v>14.7299995</v>
      </c>
      <c r="V969" s="22">
        <v>14.420000099999999</v>
      </c>
      <c r="W969" s="22">
        <v>14.5</v>
      </c>
      <c r="X969" s="22">
        <v>11.1196012</v>
      </c>
      <c r="Y969" s="22">
        <v>603200</v>
      </c>
      <c r="Z969" s="22">
        <v>-1.5614400000000001E-2</v>
      </c>
    </row>
    <row r="970" spans="19:26" ht="16" x14ac:dyDescent="0.2">
      <c r="S970" s="23">
        <v>43544</v>
      </c>
      <c r="T970" s="22">
        <v>14.4799995</v>
      </c>
      <c r="U970" s="22">
        <v>14.6599998</v>
      </c>
      <c r="V970" s="22">
        <v>14.1899996</v>
      </c>
      <c r="W970" s="22">
        <v>14.4899998</v>
      </c>
      <c r="X970" s="22">
        <v>11.1119328</v>
      </c>
      <c r="Y970" s="22">
        <v>696400</v>
      </c>
      <c r="Z970" s="22">
        <v>-6.8959999999999996E-4</v>
      </c>
    </row>
    <row r="971" spans="19:26" ht="16" x14ac:dyDescent="0.2">
      <c r="S971" s="23">
        <v>43545</v>
      </c>
      <c r="T971" s="22">
        <v>14.5</v>
      </c>
      <c r="U971" s="22">
        <v>14.859999699999999</v>
      </c>
      <c r="V971" s="22">
        <v>14.5</v>
      </c>
      <c r="W971" s="22">
        <v>14.779999699999999</v>
      </c>
      <c r="X971" s="22">
        <v>11.334323899999999</v>
      </c>
      <c r="Y971" s="22">
        <v>444100</v>
      </c>
      <c r="Z971" s="22">
        <v>2.0013719999999999E-2</v>
      </c>
    </row>
    <row r="972" spans="19:26" ht="16" x14ac:dyDescent="0.2">
      <c r="S972" s="23">
        <v>43546</v>
      </c>
      <c r="T972" s="22">
        <v>14.779999699999999</v>
      </c>
      <c r="U972" s="22">
        <v>14.8199997</v>
      </c>
      <c r="V972" s="22">
        <v>14.649999599999999</v>
      </c>
      <c r="W972" s="22">
        <v>14.699999800000001</v>
      </c>
      <c r="X972" s="22">
        <v>11.272975000000001</v>
      </c>
      <c r="Y972" s="22">
        <v>599200</v>
      </c>
      <c r="Z972" s="22">
        <v>-5.4127000000000003E-3</v>
      </c>
    </row>
    <row r="973" spans="19:26" ht="16" x14ac:dyDescent="0.2">
      <c r="S973" s="23">
        <v>43549</v>
      </c>
      <c r="T973" s="22">
        <v>14.640000300000001</v>
      </c>
      <c r="U973" s="22">
        <v>14.7700005</v>
      </c>
      <c r="V973" s="22">
        <v>14.420000099999999</v>
      </c>
      <c r="W973" s="22">
        <v>14.7299995</v>
      </c>
      <c r="X973" s="22">
        <v>11.295981400000001</v>
      </c>
      <c r="Y973" s="22">
        <v>467300</v>
      </c>
      <c r="Z973" s="22">
        <v>2.0408499999999999E-3</v>
      </c>
    </row>
    <row r="974" spans="19:26" ht="16" x14ac:dyDescent="0.2">
      <c r="S974" s="23">
        <v>43550</v>
      </c>
      <c r="T974" s="22">
        <v>14.75</v>
      </c>
      <c r="U974" s="22">
        <v>14.949999800000001</v>
      </c>
      <c r="V974" s="22">
        <v>14.75</v>
      </c>
      <c r="W974" s="22">
        <v>14.9399996</v>
      </c>
      <c r="X974" s="22">
        <v>11.457023599999999</v>
      </c>
      <c r="Y974" s="22">
        <v>361000</v>
      </c>
      <c r="Z974" s="22">
        <v>1.425659E-2</v>
      </c>
    </row>
    <row r="975" spans="19:26" ht="16" x14ac:dyDescent="0.2">
      <c r="S975" s="23">
        <v>43551</v>
      </c>
      <c r="T975" s="22">
        <v>14.96</v>
      </c>
      <c r="U975" s="22">
        <v>15.04</v>
      </c>
      <c r="V975" s="22">
        <v>14.890000300000001</v>
      </c>
      <c r="W975" s="22">
        <v>14.949999800000001</v>
      </c>
      <c r="X975" s="22">
        <v>11.464691200000001</v>
      </c>
      <c r="Y975" s="22">
        <v>474900</v>
      </c>
      <c r="Z975" s="22">
        <v>6.6923999999999998E-4</v>
      </c>
    </row>
    <row r="976" spans="19:26" ht="16" x14ac:dyDescent="0.2">
      <c r="S976" s="23">
        <v>43552</v>
      </c>
      <c r="T976" s="22">
        <v>14.949999800000001</v>
      </c>
      <c r="U976" s="22">
        <v>15.0200005</v>
      </c>
      <c r="V976" s="22">
        <v>14.899999599999999</v>
      </c>
      <c r="W976" s="22">
        <v>14.96</v>
      </c>
      <c r="X976" s="22">
        <v>11.472361599999999</v>
      </c>
      <c r="Y976" s="22">
        <v>385300</v>
      </c>
      <c r="Z976" s="22">
        <v>6.6905000000000003E-4</v>
      </c>
    </row>
    <row r="977" spans="19:26" ht="16" x14ac:dyDescent="0.2">
      <c r="S977" s="23">
        <v>43553</v>
      </c>
      <c r="T977" s="22">
        <v>14.970000300000001</v>
      </c>
      <c r="U977" s="22">
        <v>15.170000099999999</v>
      </c>
      <c r="V977" s="22">
        <v>14.9300003</v>
      </c>
      <c r="W977" s="22">
        <v>15.109999699999999</v>
      </c>
      <c r="X977" s="22">
        <v>11.5873928</v>
      </c>
      <c r="Y977" s="22">
        <v>652500</v>
      </c>
      <c r="Z977" s="22">
        <v>1.0026810000000001E-2</v>
      </c>
    </row>
    <row r="978" spans="19:26" ht="16" x14ac:dyDescent="0.2">
      <c r="S978" s="23">
        <v>43556</v>
      </c>
      <c r="T978" s="22">
        <v>15.1599998</v>
      </c>
      <c r="U978" s="22">
        <v>15.1899996</v>
      </c>
      <c r="V978" s="22">
        <v>14.920000099999999</v>
      </c>
      <c r="W978" s="22">
        <v>14.96</v>
      </c>
      <c r="X978" s="22">
        <v>11.472361599999999</v>
      </c>
      <c r="Y978" s="22">
        <v>593200</v>
      </c>
      <c r="Z978" s="22">
        <v>-9.9273E-3</v>
      </c>
    </row>
    <row r="979" spans="19:26" ht="16" x14ac:dyDescent="0.2">
      <c r="S979" s="23">
        <v>43557</v>
      </c>
      <c r="T979" s="22">
        <v>14.9899998</v>
      </c>
      <c r="U979" s="22">
        <v>15.140000300000001</v>
      </c>
      <c r="V979" s="22">
        <v>14.899999599999999</v>
      </c>
      <c r="W979" s="22">
        <v>15.1300001</v>
      </c>
      <c r="X979" s="22">
        <v>11.6027308</v>
      </c>
      <c r="Y979" s="22">
        <v>416600</v>
      </c>
      <c r="Z979" s="22">
        <v>1.1363760000000001E-2</v>
      </c>
    </row>
    <row r="980" spans="19:26" ht="16" x14ac:dyDescent="0.2">
      <c r="S980" s="23">
        <v>43558</v>
      </c>
      <c r="T980" s="22">
        <v>15.1800003</v>
      </c>
      <c r="U980" s="22">
        <v>15.3199997</v>
      </c>
      <c r="V980" s="22">
        <v>15.0200005</v>
      </c>
      <c r="W980" s="22">
        <v>15.109999699999999</v>
      </c>
      <c r="X980" s="22">
        <v>11.5873928</v>
      </c>
      <c r="Y980" s="22">
        <v>377600</v>
      </c>
      <c r="Z980" s="22">
        <v>-1.3219E-3</v>
      </c>
    </row>
    <row r="981" spans="19:26" ht="16" x14ac:dyDescent="0.2">
      <c r="S981" s="23">
        <v>43559</v>
      </c>
      <c r="T981" s="22">
        <v>15.149999599999999</v>
      </c>
      <c r="U981" s="22">
        <v>15.2299995</v>
      </c>
      <c r="V981" s="22">
        <v>15</v>
      </c>
      <c r="W981" s="22">
        <v>15.1599998</v>
      </c>
      <c r="X981" s="22">
        <v>11.625735300000001</v>
      </c>
      <c r="Y981" s="22">
        <v>374100</v>
      </c>
      <c r="Z981" s="22">
        <v>3.30898E-3</v>
      </c>
    </row>
    <row r="982" spans="19:26" ht="16" x14ac:dyDescent="0.2">
      <c r="S982" s="23">
        <v>43560</v>
      </c>
      <c r="T982" s="22">
        <v>15.149999599999999</v>
      </c>
      <c r="U982" s="22">
        <v>15.29</v>
      </c>
      <c r="V982" s="22">
        <v>15.0699997</v>
      </c>
      <c r="W982" s="22">
        <v>15.149999599999999</v>
      </c>
      <c r="X982" s="22">
        <v>11.618066799999999</v>
      </c>
      <c r="Y982" s="22">
        <v>606200</v>
      </c>
      <c r="Z982" s="22">
        <v>-6.5959999999999999E-4</v>
      </c>
    </row>
    <row r="983" spans="19:26" ht="16" x14ac:dyDescent="0.2">
      <c r="S983" s="23">
        <v>43563</v>
      </c>
      <c r="T983" s="22">
        <v>15.1599998</v>
      </c>
      <c r="U983" s="22">
        <v>15.220000300000001</v>
      </c>
      <c r="V983" s="22">
        <v>14.899999599999999</v>
      </c>
      <c r="W983" s="22">
        <v>15.0699997</v>
      </c>
      <c r="X983" s="22">
        <v>11.556717900000001</v>
      </c>
      <c r="Y983" s="22">
        <v>888800</v>
      </c>
      <c r="Z983" s="22">
        <v>-5.2804999999999996E-3</v>
      </c>
    </row>
    <row r="984" spans="19:26" ht="16" x14ac:dyDescent="0.2">
      <c r="S984" s="23">
        <v>43564</v>
      </c>
      <c r="T984" s="22">
        <v>15.0100002</v>
      </c>
      <c r="U984" s="22">
        <v>15.0900002</v>
      </c>
      <c r="V984" s="22">
        <v>14.96</v>
      </c>
      <c r="W984" s="22">
        <v>15</v>
      </c>
      <c r="X984" s="22">
        <v>11.503034599999999</v>
      </c>
      <c r="Y984" s="22">
        <v>443600</v>
      </c>
      <c r="Z984" s="22">
        <v>-4.6452000000000004E-3</v>
      </c>
    </row>
    <row r="985" spans="19:26" ht="16" x14ac:dyDescent="0.2">
      <c r="S985" s="23">
        <v>43565</v>
      </c>
      <c r="T985" s="22">
        <v>15</v>
      </c>
      <c r="U985" s="22">
        <v>15.2600002</v>
      </c>
      <c r="V985" s="22">
        <v>14.9399996</v>
      </c>
      <c r="W985" s="22">
        <v>15.21</v>
      </c>
      <c r="X985" s="22">
        <v>11.664078699999999</v>
      </c>
      <c r="Y985" s="22">
        <v>500100</v>
      </c>
      <c r="Z985" s="22">
        <v>1.4000139999999999E-2</v>
      </c>
    </row>
    <row r="986" spans="19:26" ht="16" x14ac:dyDescent="0.2">
      <c r="S986" s="23">
        <v>43566</v>
      </c>
      <c r="T986" s="22">
        <v>15.199999800000001</v>
      </c>
      <c r="U986" s="22">
        <v>15.4399996</v>
      </c>
      <c r="V986" s="22">
        <v>15.199999800000001</v>
      </c>
      <c r="W986" s="22">
        <v>15.390000300000001</v>
      </c>
      <c r="X986" s="22">
        <v>11.8021154</v>
      </c>
      <c r="Y986" s="22">
        <v>402100</v>
      </c>
      <c r="Z986" s="22">
        <v>1.183434E-2</v>
      </c>
    </row>
    <row r="987" spans="19:26" ht="16" x14ac:dyDescent="0.2">
      <c r="S987" s="23">
        <v>43567</v>
      </c>
      <c r="T987" s="22">
        <v>15.3800001</v>
      </c>
      <c r="U987" s="22">
        <v>15.850000400000001</v>
      </c>
      <c r="V987" s="22">
        <v>15.2299995</v>
      </c>
      <c r="W987" s="22">
        <v>15.850000400000001</v>
      </c>
      <c r="X987" s="22">
        <v>12.154872900000001</v>
      </c>
      <c r="Y987" s="22">
        <v>1096300</v>
      </c>
      <c r="Z987" s="22">
        <v>2.988934E-2</v>
      </c>
    </row>
    <row r="988" spans="19:26" ht="16" x14ac:dyDescent="0.2">
      <c r="S988" s="23">
        <v>43570</v>
      </c>
      <c r="T988" s="22">
        <v>15.8800001</v>
      </c>
      <c r="U988" s="22">
        <v>16.030000699999999</v>
      </c>
      <c r="V988" s="22">
        <v>15.800000199999999</v>
      </c>
      <c r="W988" s="22">
        <v>16.0100002</v>
      </c>
      <c r="X988" s="22">
        <v>12.2775707</v>
      </c>
      <c r="Y988" s="22">
        <v>743100</v>
      </c>
      <c r="Z988" s="22">
        <v>1.0094540000000001E-2</v>
      </c>
    </row>
    <row r="989" spans="19:26" ht="16" x14ac:dyDescent="0.2">
      <c r="S989" s="23">
        <v>43571</v>
      </c>
      <c r="T989" s="22">
        <v>16.0100002</v>
      </c>
      <c r="U989" s="22">
        <v>16.1900005</v>
      </c>
      <c r="V989" s="22">
        <v>15.899999599999999</v>
      </c>
      <c r="W989" s="22">
        <v>15.9399996</v>
      </c>
      <c r="X989" s="22">
        <v>12.2238922</v>
      </c>
      <c r="Y989" s="22">
        <v>1489800</v>
      </c>
      <c r="Z989" s="22">
        <v>-4.3721000000000003E-3</v>
      </c>
    </row>
    <row r="990" spans="19:26" ht="16" x14ac:dyDescent="0.2">
      <c r="S990" s="23">
        <v>43572</v>
      </c>
      <c r="T990" s="22">
        <v>16.020000499999998</v>
      </c>
      <c r="U990" s="22">
        <v>16.049999199999998</v>
      </c>
      <c r="V990" s="22">
        <v>15.8400002</v>
      </c>
      <c r="W990" s="22">
        <v>16.0100002</v>
      </c>
      <c r="X990" s="22">
        <v>12.2775707</v>
      </c>
      <c r="Y990" s="22">
        <v>633500</v>
      </c>
      <c r="Z990" s="22">
        <v>4.39128E-3</v>
      </c>
    </row>
    <row r="991" spans="19:26" ht="16" x14ac:dyDescent="0.2">
      <c r="S991" s="23">
        <v>43573</v>
      </c>
      <c r="T991" s="22">
        <v>16.040000899999999</v>
      </c>
      <c r="U991" s="22">
        <v>16.100000399999999</v>
      </c>
      <c r="V991" s="22">
        <v>15.9099998</v>
      </c>
      <c r="W991" s="22">
        <v>16.020000499999998</v>
      </c>
      <c r="X991" s="22">
        <v>12.285244</v>
      </c>
      <c r="Y991" s="22">
        <v>434400</v>
      </c>
      <c r="Z991" s="22">
        <v>6.2498000000000002E-4</v>
      </c>
    </row>
    <row r="992" spans="19:26" ht="16" x14ac:dyDescent="0.2">
      <c r="S992" s="23">
        <v>43577</v>
      </c>
      <c r="T992" s="22">
        <v>16.090000199999999</v>
      </c>
      <c r="U992" s="22">
        <v>16.139999400000001</v>
      </c>
      <c r="V992" s="22">
        <v>15.7299995</v>
      </c>
      <c r="W992" s="22">
        <v>15.8100004</v>
      </c>
      <c r="X992" s="22">
        <v>12.1241989</v>
      </c>
      <c r="Y992" s="22">
        <v>529000</v>
      </c>
      <c r="Z992" s="22">
        <v>-1.31088E-2</v>
      </c>
    </row>
    <row r="993" spans="19:26" ht="16" x14ac:dyDescent="0.2">
      <c r="S993" s="23">
        <v>43578</v>
      </c>
      <c r="T993" s="22">
        <v>15.850000400000001</v>
      </c>
      <c r="U993" s="22">
        <v>15.970000300000001</v>
      </c>
      <c r="V993" s="22">
        <v>15.649999599999999</v>
      </c>
      <c r="W993" s="22">
        <v>15.7600002</v>
      </c>
      <c r="X993" s="22">
        <v>12.0858574</v>
      </c>
      <c r="Y993" s="22">
        <v>563200</v>
      </c>
      <c r="Z993" s="22">
        <v>-3.1624000000000001E-3</v>
      </c>
    </row>
    <row r="994" spans="19:26" ht="16" x14ac:dyDescent="0.2">
      <c r="S994" s="23">
        <v>43579</v>
      </c>
      <c r="T994" s="22">
        <v>15.779999699999999</v>
      </c>
      <c r="U994" s="22">
        <v>16.040000899999999</v>
      </c>
      <c r="V994" s="22">
        <v>15.670000099999999</v>
      </c>
      <c r="W994" s="22">
        <v>15.9300003</v>
      </c>
      <c r="X994" s="22">
        <v>12.216222800000001</v>
      </c>
      <c r="Y994" s="22">
        <v>474600</v>
      </c>
      <c r="Z994" s="22">
        <v>1.078661E-2</v>
      </c>
    </row>
    <row r="995" spans="19:26" ht="16" x14ac:dyDescent="0.2">
      <c r="S995" s="23">
        <v>43580</v>
      </c>
      <c r="T995" s="22">
        <v>15.8100004</v>
      </c>
      <c r="U995" s="22">
        <v>16.0599995</v>
      </c>
      <c r="V995" s="22">
        <v>15.670000099999999</v>
      </c>
      <c r="W995" s="22">
        <v>15.920000099999999</v>
      </c>
      <c r="X995" s="22">
        <v>12.2085562</v>
      </c>
      <c r="Y995" s="22">
        <v>420500</v>
      </c>
      <c r="Z995" s="22">
        <v>-6.2759999999999997E-4</v>
      </c>
    </row>
    <row r="996" spans="19:26" ht="16" x14ac:dyDescent="0.2">
      <c r="S996" s="23">
        <v>43581</v>
      </c>
      <c r="T996" s="22">
        <v>15.9899998</v>
      </c>
      <c r="U996" s="22">
        <v>16.139999400000001</v>
      </c>
      <c r="V996" s="22">
        <v>15.9099998</v>
      </c>
      <c r="W996" s="22">
        <v>16.1200008</v>
      </c>
      <c r="X996" s="22">
        <v>12.3619328</v>
      </c>
      <c r="Y996" s="22">
        <v>380300</v>
      </c>
      <c r="Z996" s="22">
        <v>1.2563039999999999E-2</v>
      </c>
    </row>
    <row r="997" spans="19:26" ht="16" x14ac:dyDescent="0.2">
      <c r="S997" s="23">
        <v>43584</v>
      </c>
      <c r="T997" s="22">
        <v>16.090000199999999</v>
      </c>
      <c r="U997" s="22">
        <v>16.149999600000001</v>
      </c>
      <c r="V997" s="22">
        <v>15.6899996</v>
      </c>
      <c r="W997" s="22">
        <v>15.800000199999999</v>
      </c>
      <c r="X997" s="22">
        <v>12.116532299999999</v>
      </c>
      <c r="Y997" s="22">
        <v>921900</v>
      </c>
      <c r="Z997" s="22">
        <v>-1.9851299999999999E-2</v>
      </c>
    </row>
    <row r="998" spans="19:26" ht="16" x14ac:dyDescent="0.2">
      <c r="S998" s="23">
        <v>43585</v>
      </c>
      <c r="T998" s="22">
        <v>15.850000400000001</v>
      </c>
      <c r="U998" s="22">
        <v>15.890000300000001</v>
      </c>
      <c r="V998" s="22">
        <v>15.649999599999999</v>
      </c>
      <c r="W998" s="22">
        <v>15.8699999</v>
      </c>
      <c r="X998" s="22">
        <v>12.1702127</v>
      </c>
      <c r="Y998" s="22">
        <v>865600</v>
      </c>
      <c r="Z998" s="22">
        <v>4.4303499999999996E-3</v>
      </c>
    </row>
    <row r="999" spans="19:26" ht="16" x14ac:dyDescent="0.2">
      <c r="S999" s="23">
        <v>43586</v>
      </c>
      <c r="T999" s="22">
        <v>15.8800001</v>
      </c>
      <c r="U999" s="22">
        <v>15.9300003</v>
      </c>
      <c r="V999" s="22">
        <v>15.6300001</v>
      </c>
      <c r="W999" s="22">
        <v>15.670000099999999</v>
      </c>
      <c r="X999" s="22">
        <v>12.016838999999999</v>
      </c>
      <c r="Y999" s="22">
        <v>771500</v>
      </c>
      <c r="Z999" s="22">
        <v>-1.26024E-2</v>
      </c>
    </row>
    <row r="1000" spans="19:26" ht="16" x14ac:dyDescent="0.2">
      <c r="S1000" s="23">
        <v>43587</v>
      </c>
      <c r="T1000" s="22">
        <v>15.720000300000001</v>
      </c>
      <c r="U1000" s="22">
        <v>15.720000300000001</v>
      </c>
      <c r="V1000" s="22">
        <v>15.449999800000001</v>
      </c>
      <c r="W1000" s="22">
        <v>15.54</v>
      </c>
      <c r="X1000" s="22">
        <v>11.917144800000001</v>
      </c>
      <c r="Y1000" s="22">
        <v>806300</v>
      </c>
      <c r="Z1000" s="22">
        <v>-8.2962000000000001E-3</v>
      </c>
    </row>
    <row r="1001" spans="19:26" ht="16" x14ac:dyDescent="0.2">
      <c r="S1001" s="23">
        <v>43588</v>
      </c>
      <c r="T1001" s="22">
        <v>15.609999699999999</v>
      </c>
      <c r="U1001" s="22">
        <v>15.890000300000001</v>
      </c>
      <c r="V1001" s="22">
        <v>15.5200005</v>
      </c>
      <c r="W1001" s="22">
        <v>15.79</v>
      </c>
      <c r="X1001" s="22">
        <v>12.1088638</v>
      </c>
      <c r="Y1001" s="22">
        <v>559600</v>
      </c>
      <c r="Z1001" s="22">
        <v>1.6087669999999998E-2</v>
      </c>
    </row>
    <row r="1002" spans="19:26" ht="16" x14ac:dyDescent="0.2">
      <c r="S1002" s="23">
        <v>43591</v>
      </c>
      <c r="T1002" s="22">
        <v>15.71</v>
      </c>
      <c r="U1002" s="22">
        <v>15.8400002</v>
      </c>
      <c r="V1002" s="22">
        <v>15.550000199999999</v>
      </c>
      <c r="W1002" s="22">
        <v>15.6300001</v>
      </c>
      <c r="X1002" s="22">
        <v>11.986163100000001</v>
      </c>
      <c r="Y1002" s="22">
        <v>520500</v>
      </c>
      <c r="Z1002" s="22">
        <v>-1.0133100000000001E-2</v>
      </c>
    </row>
    <row r="1003" spans="19:26" ht="16" x14ac:dyDescent="0.2">
      <c r="S1003" s="23">
        <v>43592</v>
      </c>
      <c r="T1003" s="22">
        <v>15.5100002</v>
      </c>
      <c r="U1003" s="22">
        <v>15.6800003</v>
      </c>
      <c r="V1003" s="22">
        <v>15.199999800000001</v>
      </c>
      <c r="W1003" s="22">
        <v>15.5699997</v>
      </c>
      <c r="X1003" s="22">
        <v>11.940150300000001</v>
      </c>
      <c r="Y1003" s="22">
        <v>1218000</v>
      </c>
      <c r="Z1003" s="22">
        <v>-3.8387999999999999E-3</v>
      </c>
    </row>
    <row r="1004" spans="19:26" ht="16" x14ac:dyDescent="0.2">
      <c r="S1004" s="23">
        <v>43593</v>
      </c>
      <c r="T1004" s="22">
        <v>15.600000400000001</v>
      </c>
      <c r="U1004" s="22">
        <v>15.6599998</v>
      </c>
      <c r="V1004" s="22">
        <v>15.5200005</v>
      </c>
      <c r="W1004" s="22">
        <v>15.5900002</v>
      </c>
      <c r="X1004" s="22">
        <v>11.955489200000001</v>
      </c>
      <c r="Y1004" s="22">
        <v>1086600</v>
      </c>
      <c r="Z1004" s="22">
        <v>1.28465E-3</v>
      </c>
    </row>
    <row r="1005" spans="19:26" ht="16" x14ac:dyDescent="0.2">
      <c r="S1005" s="23">
        <v>43594</v>
      </c>
      <c r="T1005" s="22">
        <v>15.5600004</v>
      </c>
      <c r="U1005" s="22">
        <v>15.649999599999999</v>
      </c>
      <c r="V1005" s="22">
        <v>15.5100002</v>
      </c>
      <c r="W1005" s="22">
        <v>15.6300001</v>
      </c>
      <c r="X1005" s="22">
        <v>11.986163100000001</v>
      </c>
      <c r="Y1005" s="22">
        <v>1305800</v>
      </c>
      <c r="Z1005" s="22">
        <v>2.5656799999999999E-3</v>
      </c>
    </row>
    <row r="1006" spans="19:26" ht="16" x14ac:dyDescent="0.2">
      <c r="S1006" s="23">
        <v>43595</v>
      </c>
      <c r="T1006" s="22">
        <v>15.640000300000001</v>
      </c>
      <c r="U1006" s="22">
        <v>15.7600002</v>
      </c>
      <c r="V1006" s="22">
        <v>15.4899998</v>
      </c>
      <c r="W1006" s="22">
        <v>15.6599998</v>
      </c>
      <c r="X1006" s="22">
        <v>12.0091696</v>
      </c>
      <c r="Y1006" s="22">
        <v>609000</v>
      </c>
      <c r="Z1006" s="22">
        <v>1.91942E-3</v>
      </c>
    </row>
    <row r="1007" spans="19:26" ht="16" x14ac:dyDescent="0.2">
      <c r="S1007" s="23">
        <v>43598</v>
      </c>
      <c r="T1007" s="22">
        <v>15.54</v>
      </c>
      <c r="U1007" s="22">
        <v>15.6899996</v>
      </c>
      <c r="V1007" s="22">
        <v>15.2600002</v>
      </c>
      <c r="W1007" s="22">
        <v>15.3400002</v>
      </c>
      <c r="X1007" s="22">
        <v>11.7637701</v>
      </c>
      <c r="Y1007" s="22">
        <v>1077600</v>
      </c>
      <c r="Z1007" s="22">
        <v>-2.0434299999999999E-2</v>
      </c>
    </row>
    <row r="1008" spans="19:26" ht="16" x14ac:dyDescent="0.2">
      <c r="S1008" s="23">
        <v>43599</v>
      </c>
      <c r="T1008" s="22">
        <v>15.359999699999999</v>
      </c>
      <c r="U1008" s="22">
        <v>15.420000099999999</v>
      </c>
      <c r="V1008" s="22">
        <v>15.149999599999999</v>
      </c>
      <c r="W1008" s="22">
        <v>15.29</v>
      </c>
      <c r="X1008" s="22">
        <v>11.7254276</v>
      </c>
      <c r="Y1008" s="22">
        <v>704600</v>
      </c>
      <c r="Z1008" s="22">
        <v>-3.2594E-3</v>
      </c>
    </row>
    <row r="1009" spans="19:26" ht="16" x14ac:dyDescent="0.2">
      <c r="S1009" s="23">
        <v>43600</v>
      </c>
      <c r="T1009" s="22">
        <v>15.2299995</v>
      </c>
      <c r="U1009" s="22">
        <v>15.529999699999999</v>
      </c>
      <c r="V1009" s="22">
        <v>15.170000099999999</v>
      </c>
      <c r="W1009" s="22">
        <v>15.5</v>
      </c>
      <c r="X1009" s="22">
        <v>11.8864698</v>
      </c>
      <c r="Y1009" s="22">
        <v>418300</v>
      </c>
      <c r="Z1009" s="22">
        <v>1.3734440000000001E-2</v>
      </c>
    </row>
    <row r="1010" spans="19:26" ht="16" x14ac:dyDescent="0.2">
      <c r="S1010" s="23">
        <v>43601</v>
      </c>
      <c r="T1010" s="22">
        <v>15.5</v>
      </c>
      <c r="U1010" s="22">
        <v>15.5900002</v>
      </c>
      <c r="V1010" s="22">
        <v>15.4099998</v>
      </c>
      <c r="W1010" s="22">
        <v>15.529999699999999</v>
      </c>
      <c r="X1010" s="22">
        <v>11.9094772</v>
      </c>
      <c r="Y1010" s="22">
        <v>731100</v>
      </c>
      <c r="Z1010" s="22">
        <v>1.9356E-3</v>
      </c>
    </row>
    <row r="1011" spans="19:26" ht="16" x14ac:dyDescent="0.2">
      <c r="S1011" s="23">
        <v>43602</v>
      </c>
      <c r="T1011" s="22">
        <v>15.46</v>
      </c>
      <c r="U1011" s="22">
        <v>15.600000400000001</v>
      </c>
      <c r="V1011" s="22">
        <v>15.4300003</v>
      </c>
      <c r="W1011" s="22">
        <v>15.5600004</v>
      </c>
      <c r="X1011" s="22">
        <v>11.9324808</v>
      </c>
      <c r="Y1011" s="22">
        <v>470500</v>
      </c>
      <c r="Z1011" s="22">
        <v>1.93154E-3</v>
      </c>
    </row>
    <row r="1012" spans="19:26" ht="16" x14ac:dyDescent="0.2">
      <c r="S1012" s="23">
        <v>43605</v>
      </c>
      <c r="T1012" s="22">
        <v>15.5</v>
      </c>
      <c r="U1012" s="22">
        <v>15.5900002</v>
      </c>
      <c r="V1012" s="22">
        <v>15.46</v>
      </c>
      <c r="W1012" s="22">
        <v>15.550000199999999</v>
      </c>
      <c r="X1012" s="22">
        <v>11.924815199999999</v>
      </c>
      <c r="Y1012" s="22">
        <v>706600</v>
      </c>
      <c r="Z1012" s="22">
        <v>-6.424E-4</v>
      </c>
    </row>
    <row r="1013" spans="19:26" ht="16" x14ac:dyDescent="0.2">
      <c r="S1013" s="23">
        <v>43606</v>
      </c>
      <c r="T1013" s="22">
        <v>15.529999699999999</v>
      </c>
      <c r="U1013" s="22">
        <v>15.6300001</v>
      </c>
      <c r="V1013" s="22">
        <v>15.5</v>
      </c>
      <c r="W1013" s="22">
        <v>15.5699997</v>
      </c>
      <c r="X1013" s="22">
        <v>11.940150300000001</v>
      </c>
      <c r="Y1013" s="22">
        <v>417100</v>
      </c>
      <c r="Z1013" s="22">
        <v>1.2859799999999999E-3</v>
      </c>
    </row>
    <row r="1014" spans="19:26" ht="16" x14ac:dyDescent="0.2">
      <c r="S1014" s="23">
        <v>43607</v>
      </c>
      <c r="T1014" s="22">
        <v>15.5699997</v>
      </c>
      <c r="U1014" s="22">
        <v>15.6800003</v>
      </c>
      <c r="V1014" s="22">
        <v>15.5</v>
      </c>
      <c r="W1014" s="22">
        <v>15.5200005</v>
      </c>
      <c r="X1014" s="22">
        <v>11.901809699999999</v>
      </c>
      <c r="Y1014" s="22">
        <v>476900</v>
      </c>
      <c r="Z1014" s="22">
        <v>-3.2111000000000002E-3</v>
      </c>
    </row>
    <row r="1015" spans="19:26" ht="16" x14ac:dyDescent="0.2">
      <c r="S1015" s="23">
        <v>43608</v>
      </c>
      <c r="T1015" s="22">
        <v>15.4799995</v>
      </c>
      <c r="U1015" s="22">
        <v>15.579999900000001</v>
      </c>
      <c r="V1015" s="22">
        <v>15.46</v>
      </c>
      <c r="W1015" s="22">
        <v>15.5200005</v>
      </c>
      <c r="X1015" s="22">
        <v>11.901809699999999</v>
      </c>
      <c r="Y1015" s="22">
        <v>326200</v>
      </c>
      <c r="Z1015" s="22">
        <v>0</v>
      </c>
    </row>
    <row r="1016" spans="19:26" ht="16" x14ac:dyDescent="0.2">
      <c r="S1016" s="23">
        <v>43609</v>
      </c>
      <c r="T1016" s="22">
        <v>15.550000199999999</v>
      </c>
      <c r="U1016" s="22">
        <v>15.6800003</v>
      </c>
      <c r="V1016" s="22">
        <v>15.529999699999999</v>
      </c>
      <c r="W1016" s="22">
        <v>15.600000400000001</v>
      </c>
      <c r="X1016" s="22">
        <v>11.9631577</v>
      </c>
      <c r="Y1016" s="22">
        <v>273200</v>
      </c>
      <c r="Z1016" s="22">
        <v>5.1545100000000002E-3</v>
      </c>
    </row>
    <row r="1017" spans="19:26" ht="16" x14ac:dyDescent="0.2">
      <c r="S1017" s="23">
        <v>43613</v>
      </c>
      <c r="T1017" s="22">
        <v>15.5900002</v>
      </c>
      <c r="U1017" s="22">
        <v>15.6199999</v>
      </c>
      <c r="V1017" s="22">
        <v>15.5</v>
      </c>
      <c r="W1017" s="22">
        <v>15.579999900000001</v>
      </c>
      <c r="X1017" s="22">
        <v>11.947821599999999</v>
      </c>
      <c r="Y1017" s="22">
        <v>674200</v>
      </c>
      <c r="Z1017" s="22">
        <v>-1.2819000000000001E-3</v>
      </c>
    </row>
    <row r="1018" spans="19:26" ht="16" x14ac:dyDescent="0.2">
      <c r="S1018" s="23">
        <v>43614</v>
      </c>
      <c r="T1018" s="22">
        <v>15.5</v>
      </c>
      <c r="U1018" s="22">
        <v>15.5100002</v>
      </c>
      <c r="V1018" s="22">
        <v>15.1599998</v>
      </c>
      <c r="W1018" s="22">
        <v>15.1899996</v>
      </c>
      <c r="X1018" s="22">
        <v>11.6487379</v>
      </c>
      <c r="Y1018" s="22">
        <v>651200</v>
      </c>
      <c r="Z1018" s="22">
        <v>-2.5032499999999999E-2</v>
      </c>
    </row>
    <row r="1019" spans="19:26" ht="16" x14ac:dyDescent="0.2">
      <c r="S1019" s="23">
        <v>43615</v>
      </c>
      <c r="T1019" s="22">
        <v>15.1800003</v>
      </c>
      <c r="U1019" s="22">
        <v>15.2600002</v>
      </c>
      <c r="V1019" s="22">
        <v>14.9399996</v>
      </c>
      <c r="W1019" s="22">
        <v>15.149999599999999</v>
      </c>
      <c r="X1019" s="22">
        <v>11.618066799999999</v>
      </c>
      <c r="Y1019" s="22">
        <v>732100</v>
      </c>
      <c r="Z1019" s="22">
        <v>-2.6329999999999999E-3</v>
      </c>
    </row>
    <row r="1020" spans="19:26" ht="16" x14ac:dyDescent="0.2">
      <c r="S1020" s="23">
        <v>43616</v>
      </c>
      <c r="T1020" s="22">
        <v>14.8699999</v>
      </c>
      <c r="U1020" s="22">
        <v>15.050000199999999</v>
      </c>
      <c r="V1020" s="22">
        <v>14.7700005</v>
      </c>
      <c r="W1020" s="22">
        <v>15</v>
      </c>
      <c r="X1020" s="22">
        <v>11.6569214</v>
      </c>
      <c r="Y1020" s="22">
        <v>1122200</v>
      </c>
      <c r="Z1020" s="22">
        <v>3.34433E-3</v>
      </c>
    </row>
    <row r="1021" spans="19:26" ht="16" x14ac:dyDescent="0.2">
      <c r="S1021" s="23">
        <v>43619</v>
      </c>
      <c r="T1021" s="22">
        <v>15.04</v>
      </c>
      <c r="U1021" s="22">
        <v>15.4399996</v>
      </c>
      <c r="V1021" s="22">
        <v>15.04</v>
      </c>
      <c r="W1021" s="22">
        <v>15.4300003</v>
      </c>
      <c r="X1021" s="22">
        <v>11.991088899999999</v>
      </c>
      <c r="Y1021" s="22">
        <v>806200</v>
      </c>
      <c r="Z1021" s="22">
        <v>2.8666870000000001E-2</v>
      </c>
    </row>
    <row r="1022" spans="19:26" ht="16" x14ac:dyDescent="0.2">
      <c r="S1022" s="23">
        <v>43620</v>
      </c>
      <c r="T1022" s="22">
        <v>15.5</v>
      </c>
      <c r="U1022" s="22">
        <v>15.949999800000001</v>
      </c>
      <c r="V1022" s="22">
        <v>15.4099998</v>
      </c>
      <c r="W1022" s="22">
        <v>15.8800001</v>
      </c>
      <c r="X1022" s="22">
        <v>12.3407936</v>
      </c>
      <c r="Y1022" s="22">
        <v>672100</v>
      </c>
      <c r="Z1022" s="22">
        <v>2.9163720000000001E-2</v>
      </c>
    </row>
    <row r="1023" spans="19:26" ht="16" x14ac:dyDescent="0.2">
      <c r="S1023" s="23">
        <v>43621</v>
      </c>
      <c r="T1023" s="22">
        <v>15.8800001</v>
      </c>
      <c r="U1023" s="22">
        <v>15.949999800000001</v>
      </c>
      <c r="V1023" s="22">
        <v>15.640000300000001</v>
      </c>
      <c r="W1023" s="22">
        <v>15.8100004</v>
      </c>
      <c r="X1023" s="22">
        <v>12.2863951</v>
      </c>
      <c r="Y1023" s="22">
        <v>438300</v>
      </c>
      <c r="Z1023" s="22">
        <v>-4.4079999999999996E-3</v>
      </c>
    </row>
    <row r="1024" spans="19:26" ht="16" x14ac:dyDescent="0.2">
      <c r="S1024" s="23">
        <v>43622</v>
      </c>
      <c r="T1024" s="22">
        <v>15.850000400000001</v>
      </c>
      <c r="U1024" s="22">
        <v>16.159999800000001</v>
      </c>
      <c r="V1024" s="22">
        <v>15.720000300000001</v>
      </c>
      <c r="W1024" s="22">
        <v>16.1299992</v>
      </c>
      <c r="X1024" s="22">
        <v>12.535076099999999</v>
      </c>
      <c r="Y1024" s="22">
        <v>603400</v>
      </c>
      <c r="Z1024" s="22">
        <v>2.0240359999999999E-2</v>
      </c>
    </row>
    <row r="1025" spans="19:26" ht="16" x14ac:dyDescent="0.2">
      <c r="S1025" s="23">
        <v>43623</v>
      </c>
      <c r="T1025" s="22">
        <v>16.25</v>
      </c>
      <c r="U1025" s="22">
        <v>16.530000699999999</v>
      </c>
      <c r="V1025" s="22">
        <v>16.090000199999999</v>
      </c>
      <c r="W1025" s="22">
        <v>16.100000399999999</v>
      </c>
      <c r="X1025" s="22">
        <v>12.511766400000001</v>
      </c>
      <c r="Y1025" s="22">
        <v>606800</v>
      </c>
      <c r="Z1025" s="22">
        <v>-1.8596000000000001E-3</v>
      </c>
    </row>
    <row r="1026" spans="19:26" ht="16" x14ac:dyDescent="0.2">
      <c r="S1026" s="23">
        <v>43626</v>
      </c>
      <c r="T1026" s="22">
        <v>16</v>
      </c>
      <c r="U1026" s="22">
        <v>16.0100002</v>
      </c>
      <c r="V1026" s="22">
        <v>15.75</v>
      </c>
      <c r="W1026" s="22">
        <v>15.9099998</v>
      </c>
      <c r="X1026" s="22">
        <v>12.364108999999999</v>
      </c>
      <c r="Y1026" s="22">
        <v>755500</v>
      </c>
      <c r="Z1026" s="22">
        <v>-1.1801499999999999E-2</v>
      </c>
    </row>
    <row r="1027" spans="19:26" ht="16" x14ac:dyDescent="0.2">
      <c r="S1027" s="23">
        <v>43627</v>
      </c>
      <c r="T1027" s="22">
        <v>15.949999800000001</v>
      </c>
      <c r="U1027" s="22">
        <v>16.090000199999999</v>
      </c>
      <c r="V1027" s="22">
        <v>15.8699999</v>
      </c>
      <c r="W1027" s="22">
        <v>16.0599995</v>
      </c>
      <c r="X1027" s="22">
        <v>12.4806767</v>
      </c>
      <c r="Y1027" s="22">
        <v>512000</v>
      </c>
      <c r="Z1027" s="22">
        <v>9.4278999999999995E-3</v>
      </c>
    </row>
    <row r="1028" spans="19:26" ht="16" x14ac:dyDescent="0.2">
      <c r="S1028" s="23">
        <v>43628</v>
      </c>
      <c r="T1028" s="22">
        <v>16.079999900000001</v>
      </c>
      <c r="U1028" s="22">
        <v>16.139999400000001</v>
      </c>
      <c r="V1028" s="22">
        <v>15.800000199999999</v>
      </c>
      <c r="W1028" s="22">
        <v>16.020000499999998</v>
      </c>
      <c r="X1028" s="22">
        <v>12.4495945</v>
      </c>
      <c r="Y1028" s="22">
        <v>551100</v>
      </c>
      <c r="Z1028" s="22">
        <v>-2.4903999999999998E-3</v>
      </c>
    </row>
    <row r="1029" spans="19:26" ht="16" x14ac:dyDescent="0.2">
      <c r="S1029" s="23">
        <v>43629</v>
      </c>
      <c r="T1029" s="22">
        <v>16.090000199999999</v>
      </c>
      <c r="U1029" s="22">
        <v>16.280000699999999</v>
      </c>
      <c r="V1029" s="22">
        <v>15.850000400000001</v>
      </c>
      <c r="W1029" s="22">
        <v>15.9799995</v>
      </c>
      <c r="X1029" s="22">
        <v>12.4185076</v>
      </c>
      <c r="Y1029" s="22">
        <v>697200</v>
      </c>
      <c r="Z1029" s="22">
        <v>-2.4970000000000001E-3</v>
      </c>
    </row>
    <row r="1030" spans="19:26" ht="16" x14ac:dyDescent="0.2">
      <c r="S1030" s="23">
        <v>43630</v>
      </c>
      <c r="T1030" s="22">
        <v>16.040000899999999</v>
      </c>
      <c r="U1030" s="22">
        <v>16.149999600000001</v>
      </c>
      <c r="V1030" s="22">
        <v>15.899999599999999</v>
      </c>
      <c r="W1030" s="22">
        <v>16.110000599999999</v>
      </c>
      <c r="X1030" s="22">
        <v>12.519535100000001</v>
      </c>
      <c r="Y1030" s="22">
        <v>349200</v>
      </c>
      <c r="Z1030" s="22">
        <v>8.1352400000000002E-3</v>
      </c>
    </row>
    <row r="1031" spans="19:26" ht="16" x14ac:dyDescent="0.2">
      <c r="S1031" s="23">
        <v>43633</v>
      </c>
      <c r="T1031" s="22">
        <v>16.100000399999999</v>
      </c>
      <c r="U1031" s="22">
        <v>16.340000199999999</v>
      </c>
      <c r="V1031" s="22">
        <v>16.020000499999998</v>
      </c>
      <c r="W1031" s="22">
        <v>16.299999199999998</v>
      </c>
      <c r="X1031" s="22">
        <v>12.6671867</v>
      </c>
      <c r="Y1031" s="22">
        <v>480200</v>
      </c>
      <c r="Z1031" s="22">
        <v>1.1793700000000001E-2</v>
      </c>
    </row>
    <row r="1032" spans="19:26" ht="16" x14ac:dyDescent="0.2">
      <c r="S1032" s="23">
        <v>43634</v>
      </c>
      <c r="T1032" s="22">
        <v>16.25</v>
      </c>
      <c r="U1032" s="22">
        <v>16.530000699999999</v>
      </c>
      <c r="V1032" s="22">
        <v>16.200000800000002</v>
      </c>
      <c r="W1032" s="22">
        <v>16.340000199999999</v>
      </c>
      <c r="X1032" s="22">
        <v>12.698275600000001</v>
      </c>
      <c r="Y1032" s="22">
        <v>717900</v>
      </c>
      <c r="Z1032" s="22">
        <v>2.4542800000000001E-3</v>
      </c>
    </row>
    <row r="1033" spans="19:26" ht="16" x14ac:dyDescent="0.2">
      <c r="S1033" s="23">
        <v>43635</v>
      </c>
      <c r="T1033" s="22">
        <v>16.3199997</v>
      </c>
      <c r="U1033" s="22">
        <v>16.639999400000001</v>
      </c>
      <c r="V1033" s="22">
        <v>16.3199997</v>
      </c>
      <c r="W1033" s="22">
        <v>16.600000399999999</v>
      </c>
      <c r="X1033" s="22">
        <v>12.9003277</v>
      </c>
      <c r="Y1033" s="22">
        <v>518800</v>
      </c>
      <c r="Z1033" s="22">
        <v>1.591178E-2</v>
      </c>
    </row>
    <row r="1034" spans="19:26" ht="16" x14ac:dyDescent="0.2">
      <c r="S1034" s="23">
        <v>43636</v>
      </c>
      <c r="T1034" s="22">
        <v>16.75</v>
      </c>
      <c r="U1034" s="22">
        <v>17.049999199999998</v>
      </c>
      <c r="V1034" s="22">
        <v>16.6299992</v>
      </c>
      <c r="W1034" s="22">
        <v>17</v>
      </c>
      <c r="X1034" s="22">
        <v>13.211178800000001</v>
      </c>
      <c r="Y1034" s="22">
        <v>498100</v>
      </c>
      <c r="Z1034" s="22">
        <v>2.4096369999999999E-2</v>
      </c>
    </row>
    <row r="1035" spans="19:26" ht="16" x14ac:dyDescent="0.2">
      <c r="S1035" s="23">
        <v>43637</v>
      </c>
      <c r="T1035" s="22">
        <v>16.959999100000001</v>
      </c>
      <c r="U1035" s="22">
        <v>16.969999300000001</v>
      </c>
      <c r="V1035" s="22">
        <v>16.780000699999999</v>
      </c>
      <c r="W1035" s="22">
        <v>16.920000099999999</v>
      </c>
      <c r="X1035" s="22">
        <v>13.149008800000001</v>
      </c>
      <c r="Y1035" s="22">
        <v>548800</v>
      </c>
      <c r="Z1035" s="22">
        <v>-4.7058999999999998E-3</v>
      </c>
    </row>
    <row r="1036" spans="19:26" ht="16" x14ac:dyDescent="0.2">
      <c r="S1036" s="23">
        <v>43640</v>
      </c>
      <c r="T1036" s="22">
        <v>16.979999500000002</v>
      </c>
      <c r="U1036" s="22">
        <v>17.049999199999998</v>
      </c>
      <c r="V1036" s="22">
        <v>16.899999600000001</v>
      </c>
      <c r="W1036" s="22">
        <v>16.969999300000001</v>
      </c>
      <c r="X1036" s="22">
        <v>13.187864299999999</v>
      </c>
      <c r="Y1036" s="22">
        <v>521000</v>
      </c>
      <c r="Z1036" s="22">
        <v>2.95502E-3</v>
      </c>
    </row>
    <row r="1037" spans="19:26" ht="16" x14ac:dyDescent="0.2">
      <c r="S1037" s="23">
        <v>43641</v>
      </c>
      <c r="T1037" s="22">
        <v>16.9899998</v>
      </c>
      <c r="U1037" s="22">
        <v>17.159999800000001</v>
      </c>
      <c r="V1037" s="22">
        <v>16.829999900000001</v>
      </c>
      <c r="W1037" s="22">
        <v>16.889999400000001</v>
      </c>
      <c r="X1037" s="22">
        <v>13.125691399999999</v>
      </c>
      <c r="Y1037" s="22">
        <v>681800</v>
      </c>
      <c r="Z1037" s="22">
        <v>-4.7143999999999997E-3</v>
      </c>
    </row>
    <row r="1038" spans="19:26" ht="16" x14ac:dyDescent="0.2">
      <c r="S1038" s="23">
        <v>43642</v>
      </c>
      <c r="T1038" s="22">
        <v>16.8799992</v>
      </c>
      <c r="U1038" s="22">
        <v>17.020000499999998</v>
      </c>
      <c r="V1038" s="22">
        <v>16.270000499999998</v>
      </c>
      <c r="W1038" s="22">
        <v>16.280000699999999</v>
      </c>
      <c r="X1038" s="22">
        <v>12.6516476</v>
      </c>
      <c r="Y1038" s="22">
        <v>503900</v>
      </c>
      <c r="Z1038" s="22">
        <v>-3.6115700000000001E-2</v>
      </c>
    </row>
    <row r="1039" spans="19:26" ht="16" x14ac:dyDescent="0.2">
      <c r="S1039" s="23">
        <v>43643</v>
      </c>
      <c r="T1039" s="22">
        <v>16.340000199999999</v>
      </c>
      <c r="U1039" s="22">
        <v>16.920000099999999</v>
      </c>
      <c r="V1039" s="22">
        <v>16.2600002</v>
      </c>
      <c r="W1039" s="22">
        <v>16.899999600000001</v>
      </c>
      <c r="X1039" s="22">
        <v>13.133467700000001</v>
      </c>
      <c r="Y1039" s="22">
        <v>978800</v>
      </c>
      <c r="Z1039" s="22">
        <v>3.808359E-2</v>
      </c>
    </row>
    <row r="1040" spans="19:26" ht="16" x14ac:dyDescent="0.2">
      <c r="S1040" s="23">
        <v>43644</v>
      </c>
      <c r="T1040" s="22">
        <v>16.899999600000001</v>
      </c>
      <c r="U1040" s="22">
        <v>17.1299992</v>
      </c>
      <c r="V1040" s="22">
        <v>16.75</v>
      </c>
      <c r="W1040" s="22">
        <v>16.860000599999999</v>
      </c>
      <c r="X1040" s="22">
        <v>13.1023817</v>
      </c>
      <c r="Y1040" s="22">
        <v>720300</v>
      </c>
      <c r="Z1040" s="22">
        <v>-2.3668999999999999E-3</v>
      </c>
    </row>
    <row r="1041" spans="19:26" ht="16" x14ac:dyDescent="0.2">
      <c r="S1041" s="23">
        <v>43647</v>
      </c>
      <c r="T1041" s="22">
        <v>16.909999800000001</v>
      </c>
      <c r="U1041" s="22">
        <v>17.1200008</v>
      </c>
      <c r="V1041" s="22">
        <v>16.75</v>
      </c>
      <c r="W1041" s="22">
        <v>16.9400005</v>
      </c>
      <c r="X1041" s="22">
        <v>13.164551700000001</v>
      </c>
      <c r="Y1041" s="22">
        <v>474500</v>
      </c>
      <c r="Z1041" s="22">
        <v>4.7449399999999996E-3</v>
      </c>
    </row>
    <row r="1042" spans="19:26" ht="16" x14ac:dyDescent="0.2">
      <c r="S1042" s="23">
        <v>43648</v>
      </c>
      <c r="T1042" s="22">
        <v>16.979999500000002</v>
      </c>
      <c r="U1042" s="22">
        <v>17.1299992</v>
      </c>
      <c r="V1042" s="22">
        <v>16.840000199999999</v>
      </c>
      <c r="W1042" s="22">
        <v>17.049999199999998</v>
      </c>
      <c r="X1042" s="22">
        <v>13.2500362</v>
      </c>
      <c r="Y1042" s="22">
        <v>496300</v>
      </c>
      <c r="Z1042" s="22">
        <v>6.4935399999999999E-3</v>
      </c>
    </row>
    <row r="1043" spans="19:26" ht="16" x14ac:dyDescent="0.2">
      <c r="S1043" s="23">
        <v>43649</v>
      </c>
      <c r="T1043" s="22">
        <v>17.049999199999998</v>
      </c>
      <c r="U1043" s="22">
        <v>17.270000499999998</v>
      </c>
      <c r="V1043" s="22">
        <v>17.049999199999998</v>
      </c>
      <c r="W1043" s="22">
        <v>17.229999500000002</v>
      </c>
      <c r="X1043" s="22">
        <v>13.389916400000001</v>
      </c>
      <c r="Y1043" s="22">
        <v>487900</v>
      </c>
      <c r="Z1043" s="22">
        <v>1.0556970000000001E-2</v>
      </c>
    </row>
    <row r="1044" spans="19:26" ht="16" x14ac:dyDescent="0.2">
      <c r="S1044" s="23">
        <v>43651</v>
      </c>
      <c r="T1044" s="22">
        <v>17.139999400000001</v>
      </c>
      <c r="U1044" s="22">
        <v>17.209999100000001</v>
      </c>
      <c r="V1044" s="22">
        <v>16.850000399999999</v>
      </c>
      <c r="W1044" s="22">
        <v>17.1800003</v>
      </c>
      <c r="X1044" s="22">
        <v>13.3510609</v>
      </c>
      <c r="Y1044" s="22">
        <v>331200</v>
      </c>
      <c r="Z1044" s="22">
        <v>-2.9018999999999998E-3</v>
      </c>
    </row>
    <row r="1045" spans="19:26" ht="16" x14ac:dyDescent="0.2">
      <c r="S1045" s="23">
        <v>43654</v>
      </c>
      <c r="T1045" s="22">
        <v>17.1299992</v>
      </c>
      <c r="U1045" s="22">
        <v>17.270000499999998</v>
      </c>
      <c r="V1045" s="22">
        <v>17.100000399999999</v>
      </c>
      <c r="W1045" s="22">
        <v>17.2399998</v>
      </c>
      <c r="X1045" s="22">
        <v>13.397690799999999</v>
      </c>
      <c r="Y1045" s="22">
        <v>540600</v>
      </c>
      <c r="Z1045" s="22">
        <v>3.4925999999999998E-3</v>
      </c>
    </row>
    <row r="1046" spans="19:26" ht="16" x14ac:dyDescent="0.2">
      <c r="S1046" s="23">
        <v>43655</v>
      </c>
      <c r="T1046" s="22">
        <v>17.200000800000002</v>
      </c>
      <c r="U1046" s="22">
        <v>17.479999500000002</v>
      </c>
      <c r="V1046" s="22">
        <v>17.030000699999999</v>
      </c>
      <c r="W1046" s="22">
        <v>17.4400005</v>
      </c>
      <c r="X1046" s="22">
        <v>13.553117800000001</v>
      </c>
      <c r="Y1046" s="22">
        <v>1412000</v>
      </c>
      <c r="Z1046" s="22">
        <v>1.160103E-2</v>
      </c>
    </row>
    <row r="1047" spans="19:26" ht="16" x14ac:dyDescent="0.2">
      <c r="S1047" s="23">
        <v>43656</v>
      </c>
      <c r="T1047" s="22">
        <v>17.4300003</v>
      </c>
      <c r="U1047" s="22">
        <v>17.469999300000001</v>
      </c>
      <c r="V1047" s="22">
        <v>17.1299992</v>
      </c>
      <c r="W1047" s="22">
        <v>17.2600002</v>
      </c>
      <c r="X1047" s="22">
        <v>13.4132309</v>
      </c>
      <c r="Y1047" s="22">
        <v>610100</v>
      </c>
      <c r="Z1047" s="22">
        <v>-1.03214E-2</v>
      </c>
    </row>
    <row r="1048" spans="19:26" ht="16" x14ac:dyDescent="0.2">
      <c r="S1048" s="23">
        <v>43657</v>
      </c>
      <c r="T1048" s="22">
        <v>17.3099995</v>
      </c>
      <c r="U1048" s="22">
        <v>17.469999300000001</v>
      </c>
      <c r="V1048" s="22">
        <v>17.229999500000002</v>
      </c>
      <c r="W1048" s="22">
        <v>17.329999900000001</v>
      </c>
      <c r="X1048" s="22">
        <v>13.467630399999999</v>
      </c>
      <c r="Y1048" s="22">
        <v>449000</v>
      </c>
      <c r="Z1048" s="22">
        <v>4.05566E-3</v>
      </c>
    </row>
    <row r="1049" spans="19:26" ht="16" x14ac:dyDescent="0.2">
      <c r="S1049" s="23">
        <v>43658</v>
      </c>
      <c r="T1049" s="22">
        <v>17.290000899999999</v>
      </c>
      <c r="U1049" s="22">
        <v>17.350000399999999</v>
      </c>
      <c r="V1049" s="22">
        <v>16.889999400000001</v>
      </c>
      <c r="W1049" s="22">
        <v>17.090000199999999</v>
      </c>
      <c r="X1049" s="22">
        <v>13.2811203</v>
      </c>
      <c r="Y1049" s="22">
        <v>542800</v>
      </c>
      <c r="Z1049" s="22">
        <v>-1.38488E-2</v>
      </c>
    </row>
    <row r="1050" spans="19:26" ht="16" x14ac:dyDescent="0.2">
      <c r="S1050" s="23">
        <v>43661</v>
      </c>
      <c r="T1050" s="22">
        <v>17.139999400000001</v>
      </c>
      <c r="U1050" s="22">
        <v>17.1800003</v>
      </c>
      <c r="V1050" s="22">
        <v>17</v>
      </c>
      <c r="W1050" s="22">
        <v>17.170000099999999</v>
      </c>
      <c r="X1050" s="22">
        <v>13.343291300000001</v>
      </c>
      <c r="Y1050" s="22">
        <v>454400</v>
      </c>
      <c r="Z1050" s="22">
        <v>4.6811500000000002E-3</v>
      </c>
    </row>
    <row r="1051" spans="19:26" ht="16" x14ac:dyDescent="0.2">
      <c r="S1051" s="23">
        <v>43662</v>
      </c>
      <c r="T1051" s="22">
        <v>17.200000800000002</v>
      </c>
      <c r="U1051" s="22">
        <v>17.3099995</v>
      </c>
      <c r="V1051" s="22">
        <v>17.200000800000002</v>
      </c>
      <c r="W1051" s="22">
        <v>17.270000499999998</v>
      </c>
      <c r="X1051" s="22">
        <v>13.4210052</v>
      </c>
      <c r="Y1051" s="22">
        <v>377600</v>
      </c>
      <c r="Z1051" s="22">
        <v>5.8241999999999999E-3</v>
      </c>
    </row>
    <row r="1052" spans="19:26" ht="16" x14ac:dyDescent="0.2">
      <c r="S1052" s="23">
        <v>43663</v>
      </c>
      <c r="T1052" s="22">
        <v>17.329999900000001</v>
      </c>
      <c r="U1052" s="22">
        <v>17.4899998</v>
      </c>
      <c r="V1052" s="22">
        <v>17.25</v>
      </c>
      <c r="W1052" s="22">
        <v>17.389999400000001</v>
      </c>
      <c r="X1052" s="22">
        <v>13.514255500000001</v>
      </c>
      <c r="Y1052" s="22">
        <v>420500</v>
      </c>
      <c r="Z1052" s="22">
        <v>6.9480799999999997E-3</v>
      </c>
    </row>
    <row r="1053" spans="19:26" ht="16" x14ac:dyDescent="0.2">
      <c r="S1053" s="23">
        <v>43664</v>
      </c>
      <c r="T1053" s="22">
        <v>17.360000599999999</v>
      </c>
      <c r="U1053" s="22">
        <v>17.5</v>
      </c>
      <c r="V1053" s="22">
        <v>17.290000899999999</v>
      </c>
      <c r="W1053" s="22">
        <v>17.4899998</v>
      </c>
      <c r="X1053" s="22">
        <v>13.5919724</v>
      </c>
      <c r="Y1053" s="22">
        <v>345800</v>
      </c>
      <c r="Z1053" s="22">
        <v>5.7507299999999999E-3</v>
      </c>
    </row>
    <row r="1054" spans="19:26" ht="16" x14ac:dyDescent="0.2">
      <c r="S1054" s="23">
        <v>43665</v>
      </c>
      <c r="T1054" s="22">
        <v>17.590000199999999</v>
      </c>
      <c r="U1054" s="22">
        <v>18.0599995</v>
      </c>
      <c r="V1054" s="22">
        <v>17.5599995</v>
      </c>
      <c r="W1054" s="22">
        <v>17.860000599999999</v>
      </c>
      <c r="X1054" s="22">
        <v>13.8795099</v>
      </c>
      <c r="Y1054" s="22">
        <v>710500</v>
      </c>
      <c r="Z1054" s="22">
        <v>2.115496E-2</v>
      </c>
    </row>
    <row r="1055" spans="19:26" ht="16" x14ac:dyDescent="0.2">
      <c r="S1055" s="23">
        <v>43668</v>
      </c>
      <c r="T1055" s="22">
        <v>17.860000599999999</v>
      </c>
      <c r="U1055" s="22">
        <v>18.1299992</v>
      </c>
      <c r="V1055" s="22">
        <v>17.8099995</v>
      </c>
      <c r="W1055" s="22">
        <v>18.049999199999998</v>
      </c>
      <c r="X1055" s="22">
        <v>14.0271606</v>
      </c>
      <c r="Y1055" s="22">
        <v>550900</v>
      </c>
      <c r="Z1055" s="22">
        <v>1.063804E-2</v>
      </c>
    </row>
    <row r="1056" spans="19:26" ht="16" x14ac:dyDescent="0.2">
      <c r="S1056" s="23">
        <v>43669</v>
      </c>
      <c r="T1056" s="22">
        <v>18.030000699999999</v>
      </c>
      <c r="U1056" s="22">
        <v>18.3199997</v>
      </c>
      <c r="V1056" s="22">
        <v>17.920000099999999</v>
      </c>
      <c r="W1056" s="22">
        <v>18.079999900000001</v>
      </c>
      <c r="X1056" s="22">
        <v>14.050478</v>
      </c>
      <c r="Y1056" s="22">
        <v>1545200</v>
      </c>
      <c r="Z1056" s="22">
        <v>1.6623E-3</v>
      </c>
    </row>
    <row r="1057" spans="19:26" ht="16" x14ac:dyDescent="0.2">
      <c r="S1057" s="23">
        <v>43670</v>
      </c>
      <c r="T1057" s="22">
        <v>18.100000399999999</v>
      </c>
      <c r="U1057" s="22">
        <v>18.2399998</v>
      </c>
      <c r="V1057" s="22">
        <v>17.950000800000002</v>
      </c>
      <c r="W1057" s="22">
        <v>18.229999500000002</v>
      </c>
      <c r="X1057" s="22">
        <v>14.1670465</v>
      </c>
      <c r="Y1057" s="22">
        <v>500000</v>
      </c>
      <c r="Z1057" s="22">
        <v>8.2964100000000006E-3</v>
      </c>
    </row>
    <row r="1058" spans="19:26" ht="16" x14ac:dyDescent="0.2">
      <c r="S1058" s="23">
        <v>43671</v>
      </c>
      <c r="T1058" s="22">
        <v>18.200000800000002</v>
      </c>
      <c r="U1058" s="22">
        <v>18.229999500000002</v>
      </c>
      <c r="V1058" s="22">
        <v>17.9400005</v>
      </c>
      <c r="W1058" s="22">
        <v>18</v>
      </c>
      <c r="X1058" s="22">
        <v>13.988308</v>
      </c>
      <c r="Y1058" s="22">
        <v>288000</v>
      </c>
      <c r="Z1058" s="22">
        <v>-1.2616499999999999E-2</v>
      </c>
    </row>
    <row r="1059" spans="19:26" ht="16" x14ac:dyDescent="0.2">
      <c r="S1059" s="23">
        <v>43672</v>
      </c>
      <c r="T1059" s="22">
        <v>18.090000199999999</v>
      </c>
      <c r="U1059" s="22">
        <v>18.170000099999999</v>
      </c>
      <c r="V1059" s="22">
        <v>18</v>
      </c>
      <c r="W1059" s="22">
        <v>18.049999199999998</v>
      </c>
      <c r="X1059" s="22">
        <v>14.0271606</v>
      </c>
      <c r="Y1059" s="22">
        <v>263600</v>
      </c>
      <c r="Z1059" s="22">
        <v>2.77751E-3</v>
      </c>
    </row>
    <row r="1060" spans="19:26" ht="16" x14ac:dyDescent="0.2">
      <c r="S1060" s="23">
        <v>43675</v>
      </c>
      <c r="T1060" s="22">
        <v>18.040000899999999</v>
      </c>
      <c r="U1060" s="22">
        <v>18.110000599999999</v>
      </c>
      <c r="V1060" s="22">
        <v>17.920000099999999</v>
      </c>
      <c r="W1060" s="22">
        <v>18.079999900000001</v>
      </c>
      <c r="X1060" s="22">
        <v>14.050478</v>
      </c>
      <c r="Y1060" s="22">
        <v>267900</v>
      </c>
      <c r="Z1060" s="22">
        <v>1.6623E-3</v>
      </c>
    </row>
    <row r="1061" spans="19:26" ht="16" x14ac:dyDescent="0.2">
      <c r="S1061" s="23">
        <v>43676</v>
      </c>
      <c r="T1061" s="22">
        <v>18.049999199999998</v>
      </c>
      <c r="U1061" s="22">
        <v>18.290000899999999</v>
      </c>
      <c r="V1061" s="22">
        <v>18.0100002</v>
      </c>
      <c r="W1061" s="22">
        <v>18.25</v>
      </c>
      <c r="X1061" s="22">
        <v>14.182588600000001</v>
      </c>
      <c r="Y1061" s="22">
        <v>383900</v>
      </c>
      <c r="Z1061" s="22">
        <v>9.4025700000000007E-3</v>
      </c>
    </row>
    <row r="1062" spans="19:26" ht="16" x14ac:dyDescent="0.2">
      <c r="S1062" s="23">
        <v>43677</v>
      </c>
      <c r="T1062" s="22">
        <v>18.25</v>
      </c>
      <c r="U1062" s="22">
        <v>18.409999800000001</v>
      </c>
      <c r="V1062" s="22">
        <v>17.959999100000001</v>
      </c>
      <c r="W1062" s="22">
        <v>18.020000499999998</v>
      </c>
      <c r="X1062" s="22">
        <v>14.00385</v>
      </c>
      <c r="Y1062" s="22">
        <v>635300</v>
      </c>
      <c r="Z1062" s="22">
        <v>-1.26027E-2</v>
      </c>
    </row>
    <row r="1063" spans="19:26" ht="16" x14ac:dyDescent="0.2">
      <c r="S1063" s="23">
        <v>43678</v>
      </c>
      <c r="T1063" s="22">
        <v>18.0699997</v>
      </c>
      <c r="U1063" s="22">
        <v>18.3199997</v>
      </c>
      <c r="V1063" s="22">
        <v>17.950000800000002</v>
      </c>
      <c r="W1063" s="22">
        <v>18.0599995</v>
      </c>
      <c r="X1063" s="22">
        <v>14.0349331</v>
      </c>
      <c r="Y1063" s="22">
        <v>432400</v>
      </c>
      <c r="Z1063" s="22">
        <v>2.2196099999999999E-3</v>
      </c>
    </row>
    <row r="1064" spans="19:26" ht="16" x14ac:dyDescent="0.2">
      <c r="S1064" s="23">
        <v>43679</v>
      </c>
      <c r="T1064" s="22">
        <v>18.030000699999999</v>
      </c>
      <c r="U1064" s="22">
        <v>18.2399998</v>
      </c>
      <c r="V1064" s="22">
        <v>17.8700008</v>
      </c>
      <c r="W1064" s="22">
        <v>18.1800003</v>
      </c>
      <c r="X1064" s="22">
        <v>14.128190999999999</v>
      </c>
      <c r="Y1064" s="22">
        <v>452700</v>
      </c>
      <c r="Z1064" s="22">
        <v>6.6446999999999999E-3</v>
      </c>
    </row>
    <row r="1065" spans="19:26" ht="16" x14ac:dyDescent="0.2">
      <c r="S1065" s="23">
        <v>43682</v>
      </c>
      <c r="T1065" s="22">
        <v>18</v>
      </c>
      <c r="U1065" s="22">
        <v>18.110000599999999</v>
      </c>
      <c r="V1065" s="22">
        <v>17.549999199999998</v>
      </c>
      <c r="W1065" s="22">
        <v>17.639999400000001</v>
      </c>
      <c r="X1065" s="22">
        <v>13.7085419</v>
      </c>
      <c r="Y1065" s="22">
        <v>871600</v>
      </c>
      <c r="Z1065" s="22">
        <v>-2.9703E-2</v>
      </c>
    </row>
    <row r="1066" spans="19:26" ht="16" x14ac:dyDescent="0.2">
      <c r="S1066" s="23">
        <v>43683</v>
      </c>
      <c r="T1066" s="22">
        <v>17.1800003</v>
      </c>
      <c r="U1066" s="22">
        <v>17.469999300000001</v>
      </c>
      <c r="V1066" s="22">
        <v>16.959999100000001</v>
      </c>
      <c r="W1066" s="22">
        <v>17.0599995</v>
      </c>
      <c r="X1066" s="22">
        <v>13.2578058</v>
      </c>
      <c r="Y1066" s="22">
        <v>1367100</v>
      </c>
      <c r="Z1066" s="22">
        <v>-3.2879899999999997E-2</v>
      </c>
    </row>
    <row r="1067" spans="19:26" ht="16" x14ac:dyDescent="0.2">
      <c r="S1067" s="23">
        <v>43684</v>
      </c>
      <c r="T1067" s="22">
        <v>16.8799992</v>
      </c>
      <c r="U1067" s="22">
        <v>16.969999300000001</v>
      </c>
      <c r="V1067" s="22">
        <v>16.469999300000001</v>
      </c>
      <c r="W1067" s="22">
        <v>16.860000599999999</v>
      </c>
      <c r="X1067" s="22">
        <v>13.1023817</v>
      </c>
      <c r="Y1067" s="22">
        <v>1086700</v>
      </c>
      <c r="Z1067" s="22">
        <v>-1.17232E-2</v>
      </c>
    </row>
    <row r="1068" spans="19:26" ht="16" x14ac:dyDescent="0.2">
      <c r="S1068" s="23">
        <v>43685</v>
      </c>
      <c r="T1068" s="22">
        <v>16.8799992</v>
      </c>
      <c r="U1068" s="22">
        <v>17.270000499999998</v>
      </c>
      <c r="V1068" s="22">
        <v>16.700000800000002</v>
      </c>
      <c r="W1068" s="22">
        <v>17.200000800000002</v>
      </c>
      <c r="X1068" s="22">
        <v>13.366607699999999</v>
      </c>
      <c r="Y1068" s="22">
        <v>480300</v>
      </c>
      <c r="Z1068" s="22">
        <v>2.016625E-2</v>
      </c>
    </row>
    <row r="1069" spans="19:26" ht="16" x14ac:dyDescent="0.2">
      <c r="S1069" s="23">
        <v>43686</v>
      </c>
      <c r="T1069" s="22">
        <v>17.170000099999999</v>
      </c>
      <c r="U1069" s="22">
        <v>17.600000399999999</v>
      </c>
      <c r="V1069" s="22">
        <v>17.139999400000001</v>
      </c>
      <c r="W1069" s="22">
        <v>17.399999600000001</v>
      </c>
      <c r="X1069" s="22">
        <v>13.5220289</v>
      </c>
      <c r="Y1069" s="22">
        <v>397600</v>
      </c>
      <c r="Z1069" s="22">
        <v>1.162758E-2</v>
      </c>
    </row>
    <row r="1070" spans="19:26" ht="16" x14ac:dyDescent="0.2">
      <c r="S1070" s="23">
        <v>43689</v>
      </c>
      <c r="T1070" s="22">
        <v>17.3700008</v>
      </c>
      <c r="U1070" s="22">
        <v>17.469999300000001</v>
      </c>
      <c r="V1070" s="22">
        <v>17.030000699999999</v>
      </c>
      <c r="W1070" s="22">
        <v>17.340000199999999</v>
      </c>
      <c r="X1070" s="22">
        <v>13.4754009</v>
      </c>
      <c r="Y1070" s="22">
        <v>616200</v>
      </c>
      <c r="Z1070" s="22">
        <v>-3.4483000000000001E-3</v>
      </c>
    </row>
    <row r="1071" spans="19:26" ht="16" x14ac:dyDescent="0.2">
      <c r="S1071" s="23">
        <v>43690</v>
      </c>
      <c r="T1071" s="22">
        <v>17.2600002</v>
      </c>
      <c r="U1071" s="22">
        <v>17.950000800000002</v>
      </c>
      <c r="V1071" s="22">
        <v>17.2600002</v>
      </c>
      <c r="W1071" s="22">
        <v>17.909999800000001</v>
      </c>
      <c r="X1071" s="22">
        <v>13.9183655</v>
      </c>
      <c r="Y1071" s="22">
        <v>508100</v>
      </c>
      <c r="Z1071" s="22">
        <v>3.287209E-2</v>
      </c>
    </row>
    <row r="1072" spans="19:26" ht="16" x14ac:dyDescent="0.2">
      <c r="S1072" s="23">
        <v>43691</v>
      </c>
      <c r="T1072" s="22">
        <v>17.7600002</v>
      </c>
      <c r="U1072" s="22">
        <v>17.829999900000001</v>
      </c>
      <c r="V1072" s="22">
        <v>17.5</v>
      </c>
      <c r="W1072" s="22">
        <v>17.5599995</v>
      </c>
      <c r="X1072" s="22">
        <v>13.646368000000001</v>
      </c>
      <c r="Y1072" s="22">
        <v>1061000</v>
      </c>
      <c r="Z1072" s="22">
        <v>-1.9542299999999999E-2</v>
      </c>
    </row>
    <row r="1073" spans="19:26" ht="16" x14ac:dyDescent="0.2">
      <c r="S1073" s="23">
        <v>43692</v>
      </c>
      <c r="T1073" s="22">
        <v>17.610000599999999</v>
      </c>
      <c r="U1073" s="22">
        <v>17.6800003</v>
      </c>
      <c r="V1073" s="22">
        <v>17.360000599999999</v>
      </c>
      <c r="W1073" s="22">
        <v>17.5699997</v>
      </c>
      <c r="X1073" s="22">
        <v>13.654139499999999</v>
      </c>
      <c r="Y1073" s="22">
        <v>439700</v>
      </c>
      <c r="Z1073" s="22">
        <v>5.6948999999999997E-4</v>
      </c>
    </row>
    <row r="1074" spans="19:26" ht="16" x14ac:dyDescent="0.2">
      <c r="S1074" s="23">
        <v>43693</v>
      </c>
      <c r="T1074" s="22">
        <v>17.610000599999999</v>
      </c>
      <c r="U1074" s="22">
        <v>17.959999100000001</v>
      </c>
      <c r="V1074" s="22">
        <v>17.610000599999999</v>
      </c>
      <c r="W1074" s="22">
        <v>17.899999600000001</v>
      </c>
      <c r="X1074" s="22">
        <v>13.910592100000001</v>
      </c>
      <c r="Y1074" s="22">
        <v>568200</v>
      </c>
      <c r="Z1074" s="22">
        <v>1.878204E-2</v>
      </c>
    </row>
    <row r="1075" spans="19:26" ht="16" x14ac:dyDescent="0.2">
      <c r="S1075" s="23">
        <v>43696</v>
      </c>
      <c r="T1075" s="22">
        <v>18</v>
      </c>
      <c r="U1075" s="22">
        <v>18.1200008</v>
      </c>
      <c r="V1075" s="22">
        <v>17.409999800000001</v>
      </c>
      <c r="W1075" s="22">
        <v>17.520000499999998</v>
      </c>
      <c r="X1075" s="22">
        <v>13.615284900000001</v>
      </c>
      <c r="Y1075" s="22">
        <v>804500</v>
      </c>
      <c r="Z1075" s="22">
        <v>-2.1228899999999998E-2</v>
      </c>
    </row>
    <row r="1076" spans="19:26" ht="16" x14ac:dyDescent="0.2">
      <c r="S1076" s="23">
        <v>43697</v>
      </c>
      <c r="T1076" s="22">
        <v>17.5</v>
      </c>
      <c r="U1076" s="22">
        <v>17.6200008</v>
      </c>
      <c r="V1076" s="22">
        <v>17.350000399999999</v>
      </c>
      <c r="W1076" s="22">
        <v>17.6200008</v>
      </c>
      <c r="X1076" s="22">
        <v>13.6929979</v>
      </c>
      <c r="Y1076" s="22">
        <v>315300</v>
      </c>
      <c r="Z1076" s="22">
        <v>5.70778E-3</v>
      </c>
    </row>
    <row r="1077" spans="19:26" ht="16" x14ac:dyDescent="0.2">
      <c r="S1077" s="23">
        <v>43698</v>
      </c>
      <c r="T1077" s="22">
        <v>17.709999100000001</v>
      </c>
      <c r="U1077" s="22">
        <v>17.729999500000002</v>
      </c>
      <c r="V1077" s="22">
        <v>17.549999199999998</v>
      </c>
      <c r="W1077" s="22">
        <v>17.659999800000001</v>
      </c>
      <c r="X1077" s="22">
        <v>13.724084899999999</v>
      </c>
      <c r="Y1077" s="22">
        <v>291000</v>
      </c>
      <c r="Z1077" s="22">
        <v>2.27028E-3</v>
      </c>
    </row>
    <row r="1078" spans="19:26" ht="16" x14ac:dyDescent="0.2">
      <c r="S1078" s="23">
        <v>43699</v>
      </c>
      <c r="T1078" s="22">
        <v>17.6299992</v>
      </c>
      <c r="U1078" s="22">
        <v>17.840000199999999</v>
      </c>
      <c r="V1078" s="22">
        <v>17.579999900000001</v>
      </c>
      <c r="W1078" s="22">
        <v>17.790000899999999</v>
      </c>
      <c r="X1078" s="22">
        <v>13.825112300000001</v>
      </c>
      <c r="Y1078" s="22">
        <v>287900</v>
      </c>
      <c r="Z1078" s="22">
        <v>7.3613300000000001E-3</v>
      </c>
    </row>
    <row r="1079" spans="19:26" ht="16" x14ac:dyDescent="0.2">
      <c r="S1079" s="23">
        <v>43700</v>
      </c>
      <c r="T1079" s="22">
        <v>17.75</v>
      </c>
      <c r="U1079" s="22">
        <v>17.969999300000001</v>
      </c>
      <c r="V1079" s="22">
        <v>17.3199997</v>
      </c>
      <c r="W1079" s="22">
        <v>17.389999400000001</v>
      </c>
      <c r="X1079" s="22">
        <v>13.514255500000001</v>
      </c>
      <c r="Y1079" s="22">
        <v>706100</v>
      </c>
      <c r="Z1079" s="22">
        <v>-2.2484899999999999E-2</v>
      </c>
    </row>
    <row r="1080" spans="19:26" ht="16" x14ac:dyDescent="0.2">
      <c r="S1080" s="23">
        <v>43703</v>
      </c>
      <c r="T1080" s="22">
        <v>17.5100002</v>
      </c>
      <c r="U1080" s="22">
        <v>17.610000599999999</v>
      </c>
      <c r="V1080" s="22">
        <v>17.4300003</v>
      </c>
      <c r="W1080" s="22">
        <v>17.479999500000002</v>
      </c>
      <c r="X1080" s="22">
        <v>13.5841999</v>
      </c>
      <c r="Y1080" s="22">
        <v>627200</v>
      </c>
      <c r="Z1080" s="22">
        <v>5.1755999999999998E-3</v>
      </c>
    </row>
    <row r="1081" spans="19:26" ht="16" x14ac:dyDescent="0.2">
      <c r="S1081" s="23">
        <v>43704</v>
      </c>
      <c r="T1081" s="22">
        <v>17.579999900000001</v>
      </c>
      <c r="U1081" s="22">
        <v>17.780000699999999</v>
      </c>
      <c r="V1081" s="22">
        <v>17.3199997</v>
      </c>
      <c r="W1081" s="22">
        <v>17.329999900000001</v>
      </c>
      <c r="X1081" s="22">
        <v>13.467630399999999</v>
      </c>
      <c r="Y1081" s="22">
        <v>520800</v>
      </c>
      <c r="Z1081" s="22">
        <v>-8.5813E-3</v>
      </c>
    </row>
    <row r="1082" spans="19:26" ht="16" x14ac:dyDescent="0.2">
      <c r="S1082" s="23">
        <v>43705</v>
      </c>
      <c r="T1082" s="22">
        <v>17.350000399999999</v>
      </c>
      <c r="U1082" s="22">
        <v>17.600000399999999</v>
      </c>
      <c r="V1082" s="22">
        <v>17.340000199999999</v>
      </c>
      <c r="W1082" s="22">
        <v>17.5599995</v>
      </c>
      <c r="X1082" s="22">
        <v>13.646368000000001</v>
      </c>
      <c r="Y1082" s="22">
        <v>281700</v>
      </c>
      <c r="Z1082" s="22">
        <v>1.3271649999999999E-2</v>
      </c>
    </row>
    <row r="1083" spans="19:26" ht="16" x14ac:dyDescent="0.2">
      <c r="S1083" s="23">
        <v>43706</v>
      </c>
      <c r="T1083" s="22">
        <v>17.649999600000001</v>
      </c>
      <c r="U1083" s="22">
        <v>17.9300003</v>
      </c>
      <c r="V1083" s="22">
        <v>17.649999600000001</v>
      </c>
      <c r="W1083" s="22">
        <v>17.75</v>
      </c>
      <c r="X1083" s="22">
        <v>13.794024500000001</v>
      </c>
      <c r="Y1083" s="22">
        <v>288400</v>
      </c>
      <c r="Z1083" s="22">
        <v>1.08202E-2</v>
      </c>
    </row>
    <row r="1084" spans="19:26" ht="16" x14ac:dyDescent="0.2">
      <c r="S1084" s="23">
        <v>43707</v>
      </c>
      <c r="T1084" s="22">
        <v>17.6299992</v>
      </c>
      <c r="U1084" s="22">
        <v>17.729999500000002</v>
      </c>
      <c r="V1084" s="22">
        <v>17.479999500000002</v>
      </c>
      <c r="W1084" s="22">
        <v>17.700000800000002</v>
      </c>
      <c r="X1084" s="22">
        <v>13.911922499999999</v>
      </c>
      <c r="Y1084" s="22">
        <v>235200</v>
      </c>
      <c r="Z1084" s="22">
        <v>8.5470300000000006E-3</v>
      </c>
    </row>
    <row r="1085" spans="19:26" ht="16" x14ac:dyDescent="0.2">
      <c r="S1085" s="23">
        <v>43711</v>
      </c>
      <c r="T1085" s="22">
        <v>17.6299992</v>
      </c>
      <c r="U1085" s="22">
        <v>17.799999199999998</v>
      </c>
      <c r="V1085" s="22">
        <v>17.520000499999998</v>
      </c>
      <c r="W1085" s="22">
        <v>17.729999500000002</v>
      </c>
      <c r="X1085" s="22">
        <v>13.935500100000001</v>
      </c>
      <c r="Y1085" s="22">
        <v>329400</v>
      </c>
      <c r="Z1085" s="22">
        <v>1.6947799999999999E-3</v>
      </c>
    </row>
    <row r="1086" spans="19:26" ht="16" x14ac:dyDescent="0.2">
      <c r="S1086" s="23">
        <v>43712</v>
      </c>
      <c r="T1086" s="22">
        <v>17.8199997</v>
      </c>
      <c r="U1086" s="22">
        <v>17.889999400000001</v>
      </c>
      <c r="V1086" s="22">
        <v>17.700000800000002</v>
      </c>
      <c r="W1086" s="22">
        <v>17.790000899999999</v>
      </c>
      <c r="X1086" s="22">
        <v>13.982663199999999</v>
      </c>
      <c r="Y1086" s="22">
        <v>255400</v>
      </c>
      <c r="Z1086" s="22">
        <v>3.3843800000000002E-3</v>
      </c>
    </row>
    <row r="1087" spans="19:26" ht="16" x14ac:dyDescent="0.2">
      <c r="S1087" s="23">
        <v>43713</v>
      </c>
      <c r="T1087" s="22">
        <v>17.8099995</v>
      </c>
      <c r="U1087" s="22">
        <v>18</v>
      </c>
      <c r="V1087" s="22">
        <v>17.719999300000001</v>
      </c>
      <c r="W1087" s="22">
        <v>17.8199997</v>
      </c>
      <c r="X1087" s="22">
        <v>14.0062389</v>
      </c>
      <c r="Y1087" s="22">
        <v>236100</v>
      </c>
      <c r="Z1087" s="22">
        <v>1.68607E-3</v>
      </c>
    </row>
    <row r="1088" spans="19:26" ht="16" x14ac:dyDescent="0.2">
      <c r="S1088" s="23">
        <v>43714</v>
      </c>
      <c r="T1088" s="22">
        <v>17.8799992</v>
      </c>
      <c r="U1088" s="22">
        <v>17.9400005</v>
      </c>
      <c r="V1088" s="22">
        <v>17.590000199999999</v>
      </c>
      <c r="W1088" s="22">
        <v>17.590000199999999</v>
      </c>
      <c r="X1088" s="22">
        <v>13.825463299999999</v>
      </c>
      <c r="Y1088" s="22">
        <v>181400</v>
      </c>
      <c r="Z1088" s="22">
        <v>-1.29068E-2</v>
      </c>
    </row>
    <row r="1089" spans="19:26" ht="16" x14ac:dyDescent="0.2">
      <c r="S1089" s="23">
        <v>43717</v>
      </c>
      <c r="T1089" s="22">
        <v>17.5699997</v>
      </c>
      <c r="U1089" s="22">
        <v>17.7600002</v>
      </c>
      <c r="V1089" s="22">
        <v>17.4899998</v>
      </c>
      <c r="W1089" s="22">
        <v>17.5699997</v>
      </c>
      <c r="X1089" s="22">
        <v>13.809742</v>
      </c>
      <c r="Y1089" s="22">
        <v>429500</v>
      </c>
      <c r="Z1089" s="22">
        <v>-1.1371E-3</v>
      </c>
    </row>
    <row r="1090" spans="19:26" ht="16" x14ac:dyDescent="0.2">
      <c r="S1090" s="23">
        <v>43718</v>
      </c>
      <c r="T1090" s="22">
        <v>17.5699997</v>
      </c>
      <c r="U1090" s="22">
        <v>17.979999500000002</v>
      </c>
      <c r="V1090" s="22">
        <v>17.5</v>
      </c>
      <c r="W1090" s="22">
        <v>17.950000800000002</v>
      </c>
      <c r="X1090" s="22">
        <v>14.1084204</v>
      </c>
      <c r="Y1090" s="22">
        <v>297200</v>
      </c>
      <c r="Z1090" s="22">
        <v>2.1628089999999999E-2</v>
      </c>
    </row>
    <row r="1091" spans="19:26" ht="16" x14ac:dyDescent="0.2">
      <c r="S1091" s="23">
        <v>43719</v>
      </c>
      <c r="T1091" s="22">
        <v>18.049999199999998</v>
      </c>
      <c r="U1091" s="22">
        <v>18.530000699999999</v>
      </c>
      <c r="V1091" s="22">
        <v>17.860000599999999</v>
      </c>
      <c r="W1091" s="22">
        <v>18.4300003</v>
      </c>
      <c r="X1091" s="22">
        <v>14.4856911</v>
      </c>
      <c r="Y1091" s="22">
        <v>811900</v>
      </c>
      <c r="Z1091" s="22">
        <v>2.6740819999999998E-2</v>
      </c>
    </row>
    <row r="1092" spans="19:26" ht="16" x14ac:dyDescent="0.2">
      <c r="S1092" s="23">
        <v>43720</v>
      </c>
      <c r="T1092" s="22">
        <v>18.4400005</v>
      </c>
      <c r="U1092" s="22">
        <v>18.579999900000001</v>
      </c>
      <c r="V1092" s="22">
        <v>18.159999800000001</v>
      </c>
      <c r="W1092" s="22">
        <v>18.25</v>
      </c>
      <c r="X1092" s="22">
        <v>14.3442135</v>
      </c>
      <c r="Y1092" s="22">
        <v>519900</v>
      </c>
      <c r="Z1092" s="22">
        <v>-9.7666999999999997E-3</v>
      </c>
    </row>
    <row r="1093" spans="19:26" ht="16" x14ac:dyDescent="0.2">
      <c r="S1093" s="23">
        <v>43721</v>
      </c>
      <c r="T1093" s="22">
        <v>18.290000899999999</v>
      </c>
      <c r="U1093" s="22">
        <v>18.360000599999999</v>
      </c>
      <c r="V1093" s="22">
        <v>18.030000699999999</v>
      </c>
      <c r="W1093" s="22">
        <v>18.1900005</v>
      </c>
      <c r="X1093" s="22">
        <v>14.2970562</v>
      </c>
      <c r="Y1093" s="22">
        <v>363700</v>
      </c>
      <c r="Z1093" s="22">
        <v>-3.2875000000000001E-3</v>
      </c>
    </row>
    <row r="1094" spans="19:26" ht="16" x14ac:dyDescent="0.2">
      <c r="S1094" s="23">
        <v>43724</v>
      </c>
      <c r="T1094" s="22">
        <v>18.270000499999998</v>
      </c>
      <c r="U1094" s="22">
        <v>18.409999800000001</v>
      </c>
      <c r="V1094" s="22">
        <v>17.9300003</v>
      </c>
      <c r="W1094" s="22">
        <v>17.950000800000002</v>
      </c>
      <c r="X1094" s="22">
        <v>14.1084204</v>
      </c>
      <c r="Y1094" s="22">
        <v>499100</v>
      </c>
      <c r="Z1094" s="22">
        <v>-1.3194000000000001E-2</v>
      </c>
    </row>
    <row r="1095" spans="19:26" ht="16" x14ac:dyDescent="0.2">
      <c r="S1095" s="23">
        <v>43725</v>
      </c>
      <c r="T1095" s="22">
        <v>17.899999600000001</v>
      </c>
      <c r="U1095" s="22">
        <v>18.229999500000002</v>
      </c>
      <c r="V1095" s="22">
        <v>17.799999199999998</v>
      </c>
      <c r="W1095" s="22">
        <v>18.200000800000002</v>
      </c>
      <c r="X1095" s="22">
        <v>14.3049164</v>
      </c>
      <c r="Y1095" s="22">
        <v>379600</v>
      </c>
      <c r="Z1095" s="22">
        <v>1.392757E-2</v>
      </c>
    </row>
    <row r="1096" spans="19:26" ht="16" x14ac:dyDescent="0.2">
      <c r="S1096" s="23">
        <v>43726</v>
      </c>
      <c r="T1096" s="22">
        <v>18.299999199999998</v>
      </c>
      <c r="U1096" s="22">
        <v>18.409999800000001</v>
      </c>
      <c r="V1096" s="22">
        <v>18.079999900000001</v>
      </c>
      <c r="W1096" s="22">
        <v>18.170000099999999</v>
      </c>
      <c r="X1096" s="22">
        <v>14.2813368</v>
      </c>
      <c r="Y1096" s="22">
        <v>397500</v>
      </c>
      <c r="Z1096" s="22">
        <v>-1.6484E-3</v>
      </c>
    </row>
    <row r="1097" spans="19:26" ht="16" x14ac:dyDescent="0.2">
      <c r="S1097" s="23">
        <v>43727</v>
      </c>
      <c r="T1097" s="22">
        <v>18.200000800000002</v>
      </c>
      <c r="U1097" s="22">
        <v>18.270000499999998</v>
      </c>
      <c r="V1097" s="22">
        <v>18.049999199999998</v>
      </c>
      <c r="W1097" s="22">
        <v>18.110000599999999</v>
      </c>
      <c r="X1097" s="22">
        <v>14.234180500000001</v>
      </c>
      <c r="Y1097" s="22">
        <v>313600</v>
      </c>
      <c r="Z1097" s="22">
        <v>-3.3019999999999998E-3</v>
      </c>
    </row>
    <row r="1098" spans="19:26" ht="16" x14ac:dyDescent="0.2">
      <c r="S1098" s="23">
        <v>43728</v>
      </c>
      <c r="T1098" s="22">
        <v>18.149999600000001</v>
      </c>
      <c r="U1098" s="22">
        <v>18.159999800000001</v>
      </c>
      <c r="V1098" s="22">
        <v>17.9400005</v>
      </c>
      <c r="W1098" s="22">
        <v>18.049999199999998</v>
      </c>
      <c r="X1098" s="22">
        <v>14.187014599999999</v>
      </c>
      <c r="Y1098" s="22">
        <v>599700</v>
      </c>
      <c r="Z1098" s="22">
        <v>-3.3135999999999999E-3</v>
      </c>
    </row>
    <row r="1099" spans="19:26" ht="16" x14ac:dyDescent="0.2">
      <c r="S1099" s="23">
        <v>43731</v>
      </c>
      <c r="T1099" s="22">
        <v>18</v>
      </c>
      <c r="U1099" s="22">
        <v>18.030000699999999</v>
      </c>
      <c r="V1099" s="22">
        <v>17.8099995</v>
      </c>
      <c r="W1099" s="22">
        <v>17.8700008</v>
      </c>
      <c r="X1099" s="22">
        <v>14.0455389</v>
      </c>
      <c r="Y1099" s="22">
        <v>335700</v>
      </c>
      <c r="Z1099" s="22">
        <v>-9.9722000000000005E-3</v>
      </c>
    </row>
    <row r="1100" spans="19:26" ht="16" x14ac:dyDescent="0.2">
      <c r="S1100" s="23">
        <v>43732</v>
      </c>
      <c r="T1100" s="22">
        <v>17.9400005</v>
      </c>
      <c r="U1100" s="22">
        <v>17.959999100000001</v>
      </c>
      <c r="V1100" s="22">
        <v>17.610000599999999</v>
      </c>
      <c r="W1100" s="22">
        <v>17.6800003</v>
      </c>
      <c r="X1100" s="22">
        <v>13.896204000000001</v>
      </c>
      <c r="Y1100" s="22">
        <v>993300</v>
      </c>
      <c r="Z1100" s="22">
        <v>-1.06322E-2</v>
      </c>
    </row>
    <row r="1101" spans="19:26" ht="16" x14ac:dyDescent="0.2">
      <c r="S1101" s="23">
        <v>43733</v>
      </c>
      <c r="T1101" s="22">
        <v>17.6900005</v>
      </c>
      <c r="U1101" s="22">
        <v>18.030000699999999</v>
      </c>
      <c r="V1101" s="22">
        <v>17.6299992</v>
      </c>
      <c r="W1101" s="22">
        <v>18.0100002</v>
      </c>
      <c r="X1101" s="22">
        <v>14.155580499999999</v>
      </c>
      <c r="Y1101" s="22">
        <v>364300</v>
      </c>
      <c r="Z1101" s="22">
        <v>1.8665279999999999E-2</v>
      </c>
    </row>
    <row r="1102" spans="19:26" ht="16" x14ac:dyDescent="0.2">
      <c r="S1102" s="23">
        <v>43734</v>
      </c>
      <c r="T1102" s="22">
        <v>17.9899998</v>
      </c>
      <c r="U1102" s="22">
        <v>18.3199997</v>
      </c>
      <c r="V1102" s="22">
        <v>17.909999800000001</v>
      </c>
      <c r="W1102" s="22">
        <v>18.2399998</v>
      </c>
      <c r="X1102" s="22">
        <v>14.3363552</v>
      </c>
      <c r="Y1102" s="22">
        <v>319800</v>
      </c>
      <c r="Z1102" s="22">
        <v>1.277056E-2</v>
      </c>
    </row>
    <row r="1103" spans="19:26" ht="16" x14ac:dyDescent="0.2">
      <c r="S1103" s="23">
        <v>43735</v>
      </c>
      <c r="T1103" s="22">
        <v>18.280000699999999</v>
      </c>
      <c r="U1103" s="22">
        <v>18.350000399999999</v>
      </c>
      <c r="V1103" s="22">
        <v>18.030000699999999</v>
      </c>
      <c r="W1103" s="22">
        <v>18.200000800000002</v>
      </c>
      <c r="X1103" s="22">
        <v>14.3049164</v>
      </c>
      <c r="Y1103" s="22">
        <v>296500</v>
      </c>
      <c r="Z1103" s="22">
        <v>-2.1928999999999998E-3</v>
      </c>
    </row>
    <row r="1104" spans="19:26" ht="16" x14ac:dyDescent="0.2">
      <c r="S1104" s="23">
        <v>43738</v>
      </c>
      <c r="T1104" s="22">
        <v>18.149999600000001</v>
      </c>
      <c r="U1104" s="22">
        <v>18.3199997</v>
      </c>
      <c r="V1104" s="22">
        <v>18.0100002</v>
      </c>
      <c r="W1104" s="22">
        <v>18.25</v>
      </c>
      <c r="X1104" s="22">
        <v>14.3442135</v>
      </c>
      <c r="Y1104" s="22">
        <v>453300</v>
      </c>
      <c r="Z1104" s="22">
        <v>2.7471000000000001E-3</v>
      </c>
    </row>
    <row r="1105" spans="19:26" ht="16" x14ac:dyDescent="0.2">
      <c r="S1105" s="23">
        <v>43739</v>
      </c>
      <c r="T1105" s="22">
        <v>18.25</v>
      </c>
      <c r="U1105" s="22">
        <v>18.3700008</v>
      </c>
      <c r="V1105" s="22">
        <v>18.040000899999999</v>
      </c>
      <c r="W1105" s="22">
        <v>18.100000399999999</v>
      </c>
      <c r="X1105" s="22">
        <v>14.226314500000001</v>
      </c>
      <c r="Y1105" s="22">
        <v>370100</v>
      </c>
      <c r="Z1105" s="22">
        <v>-8.2193000000000006E-3</v>
      </c>
    </row>
    <row r="1106" spans="19:26" ht="16" x14ac:dyDescent="0.2">
      <c r="S1106" s="23">
        <v>43740</v>
      </c>
      <c r="T1106" s="22">
        <v>18.020000499999998</v>
      </c>
      <c r="U1106" s="22">
        <v>18.149999600000001</v>
      </c>
      <c r="V1106" s="22">
        <v>17.959999100000001</v>
      </c>
      <c r="W1106" s="22">
        <v>18.0599995</v>
      </c>
      <c r="X1106" s="22">
        <v>14.194875700000001</v>
      </c>
      <c r="Y1106" s="22">
        <v>399200</v>
      </c>
      <c r="Z1106" s="22">
        <v>-2.2098999999999999E-3</v>
      </c>
    </row>
    <row r="1107" spans="19:26" ht="16" x14ac:dyDescent="0.2">
      <c r="S1107" s="23">
        <v>43741</v>
      </c>
      <c r="T1107" s="22">
        <v>18.020000499999998</v>
      </c>
      <c r="U1107" s="22">
        <v>18.5</v>
      </c>
      <c r="V1107" s="22">
        <v>17.9899998</v>
      </c>
      <c r="W1107" s="22">
        <v>18.5</v>
      </c>
      <c r="X1107" s="22">
        <v>14.540708499999999</v>
      </c>
      <c r="Y1107" s="22">
        <v>397000</v>
      </c>
      <c r="Z1107" s="22">
        <v>2.4363220000000001E-2</v>
      </c>
    </row>
    <row r="1108" spans="19:26" ht="16" x14ac:dyDescent="0.2">
      <c r="S1108" s="23">
        <v>43742</v>
      </c>
      <c r="T1108" s="22">
        <v>18.5</v>
      </c>
      <c r="U1108" s="22">
        <v>19.3199997</v>
      </c>
      <c r="V1108" s="22">
        <v>18.5</v>
      </c>
      <c r="W1108" s="22">
        <v>19.299999199999998</v>
      </c>
      <c r="X1108" s="22">
        <v>15.169495599999999</v>
      </c>
      <c r="Y1108" s="22">
        <v>1024000</v>
      </c>
      <c r="Z1108" s="22">
        <v>4.3243219999999999E-2</v>
      </c>
    </row>
    <row r="1109" spans="19:26" ht="16" x14ac:dyDescent="0.2">
      <c r="S1109" s="23">
        <v>43745</v>
      </c>
      <c r="T1109" s="22">
        <v>19.340000199999999</v>
      </c>
      <c r="U1109" s="22">
        <v>19.479999500000002</v>
      </c>
      <c r="V1109" s="22">
        <v>19.139999400000001</v>
      </c>
      <c r="W1109" s="22">
        <v>19.399999600000001</v>
      </c>
      <c r="X1109" s="22">
        <v>15.248096500000001</v>
      </c>
      <c r="Y1109" s="22">
        <v>813700</v>
      </c>
      <c r="Z1109" s="22">
        <v>5.1815100000000003E-3</v>
      </c>
    </row>
    <row r="1110" spans="19:26" ht="16" x14ac:dyDescent="0.2">
      <c r="S1110" s="23">
        <v>43746</v>
      </c>
      <c r="T1110" s="22">
        <v>19.360000599999999</v>
      </c>
      <c r="U1110" s="22">
        <v>19.409999800000001</v>
      </c>
      <c r="V1110" s="22">
        <v>19.100000399999999</v>
      </c>
      <c r="W1110" s="22">
        <v>19.219999300000001</v>
      </c>
      <c r="X1110" s="22">
        <v>15.106619800000001</v>
      </c>
      <c r="Y1110" s="22">
        <v>580000</v>
      </c>
      <c r="Z1110" s="22">
        <v>-9.2782999999999997E-3</v>
      </c>
    </row>
    <row r="1111" spans="19:26" ht="16" x14ac:dyDescent="0.2">
      <c r="S1111" s="23">
        <v>43747</v>
      </c>
      <c r="T1111" s="22">
        <v>19.329999900000001</v>
      </c>
      <c r="U1111" s="22">
        <v>19.350000399999999</v>
      </c>
      <c r="V1111" s="22">
        <v>19.100000399999999</v>
      </c>
      <c r="W1111" s="22">
        <v>19.2399998</v>
      </c>
      <c r="X1111" s="22">
        <v>15.122339200000001</v>
      </c>
      <c r="Y1111" s="22">
        <v>317200</v>
      </c>
      <c r="Z1111" s="22">
        <v>1.0405600000000001E-3</v>
      </c>
    </row>
    <row r="1112" spans="19:26" ht="16" x14ac:dyDescent="0.2">
      <c r="S1112" s="23">
        <v>43748</v>
      </c>
      <c r="T1112" s="22">
        <v>19.25</v>
      </c>
      <c r="U1112" s="22">
        <v>19.290000899999999</v>
      </c>
      <c r="V1112" s="22">
        <v>19.100000399999999</v>
      </c>
      <c r="W1112" s="22">
        <v>19.25</v>
      </c>
      <c r="X1112" s="22">
        <v>15.130198500000001</v>
      </c>
      <c r="Y1112" s="22">
        <v>623200</v>
      </c>
      <c r="Z1112" s="22">
        <v>5.1971000000000005E-4</v>
      </c>
    </row>
    <row r="1113" spans="19:26" ht="16" x14ac:dyDescent="0.2">
      <c r="S1113" s="23">
        <v>43749</v>
      </c>
      <c r="T1113" s="22">
        <v>19.360000599999999</v>
      </c>
      <c r="U1113" s="22">
        <v>19.5100002</v>
      </c>
      <c r="V1113" s="22">
        <v>19.270000499999998</v>
      </c>
      <c r="W1113" s="22">
        <v>19.399999600000001</v>
      </c>
      <c r="X1113" s="22">
        <v>15.248096500000001</v>
      </c>
      <c r="Y1113" s="22">
        <v>576400</v>
      </c>
      <c r="Z1113" s="22">
        <v>7.7922299999999998E-3</v>
      </c>
    </row>
    <row r="1114" spans="19:26" ht="16" x14ac:dyDescent="0.2">
      <c r="S1114" s="23">
        <v>43752</v>
      </c>
      <c r="T1114" s="22">
        <v>19.3199997</v>
      </c>
      <c r="U1114" s="22">
        <v>19.469999300000001</v>
      </c>
      <c r="V1114" s="22">
        <v>19.1800003</v>
      </c>
      <c r="W1114" s="22">
        <v>19.3099995</v>
      </c>
      <c r="X1114" s="22">
        <v>15.177355800000001</v>
      </c>
      <c r="Y1114" s="22">
        <v>756500</v>
      </c>
      <c r="Z1114" s="22">
        <v>-4.6392999999999998E-3</v>
      </c>
    </row>
    <row r="1115" spans="19:26" ht="16" x14ac:dyDescent="0.2">
      <c r="S1115" s="23">
        <v>43753</v>
      </c>
      <c r="T1115" s="22">
        <v>19.270000499999998</v>
      </c>
      <c r="U1115" s="22">
        <v>19.469999300000001</v>
      </c>
      <c r="V1115" s="22">
        <v>19.1900005</v>
      </c>
      <c r="W1115" s="22">
        <v>19.399999600000001</v>
      </c>
      <c r="X1115" s="22">
        <v>15.248096500000001</v>
      </c>
      <c r="Y1115" s="22">
        <v>844400</v>
      </c>
      <c r="Z1115" s="22">
        <v>4.6609399999999997E-3</v>
      </c>
    </row>
    <row r="1116" spans="19:26" ht="16" x14ac:dyDescent="0.2">
      <c r="S1116" s="23">
        <v>43754</v>
      </c>
      <c r="T1116" s="22">
        <v>19.409999800000001</v>
      </c>
      <c r="U1116" s="22">
        <v>19.5</v>
      </c>
      <c r="V1116" s="22">
        <v>19.229999500000002</v>
      </c>
      <c r="W1116" s="22">
        <v>19.399999600000001</v>
      </c>
      <c r="X1116" s="22">
        <v>15.248096500000001</v>
      </c>
      <c r="Y1116" s="22">
        <v>878600</v>
      </c>
      <c r="Z1116" s="22">
        <v>0</v>
      </c>
    </row>
    <row r="1117" spans="19:26" ht="16" x14ac:dyDescent="0.2">
      <c r="S1117" s="23">
        <v>43755</v>
      </c>
      <c r="T1117" s="22">
        <v>19.420000099999999</v>
      </c>
      <c r="U1117" s="22">
        <v>19.649999600000001</v>
      </c>
      <c r="V1117" s="22">
        <v>19.389999400000001</v>
      </c>
      <c r="W1117" s="22">
        <v>19.600000399999999</v>
      </c>
      <c r="X1117" s="22">
        <v>15.405293500000001</v>
      </c>
      <c r="Y1117" s="22">
        <v>435500</v>
      </c>
      <c r="Z1117" s="22">
        <v>1.030929E-2</v>
      </c>
    </row>
    <row r="1118" spans="19:26" ht="16" x14ac:dyDescent="0.2">
      <c r="S1118" s="23">
        <v>43756</v>
      </c>
      <c r="T1118" s="22">
        <v>19.5599995</v>
      </c>
      <c r="U1118" s="22">
        <v>19.920000099999999</v>
      </c>
      <c r="V1118" s="22">
        <v>19.520000499999998</v>
      </c>
      <c r="W1118" s="22">
        <v>19.909999800000001</v>
      </c>
      <c r="X1118" s="22">
        <v>15.6489487</v>
      </c>
      <c r="Y1118" s="22">
        <v>379600</v>
      </c>
      <c r="Z1118" s="22">
        <v>1.581633E-2</v>
      </c>
    </row>
    <row r="1119" spans="19:26" ht="16" x14ac:dyDescent="0.2">
      <c r="S1119" s="23">
        <v>43759</v>
      </c>
      <c r="T1119" s="22">
        <v>20</v>
      </c>
      <c r="U1119" s="22">
        <v>20.100000399999999</v>
      </c>
      <c r="V1119" s="22">
        <v>19.899999600000001</v>
      </c>
      <c r="W1119" s="22">
        <v>20.0599995</v>
      </c>
      <c r="X1119" s="22">
        <v>15.7668447</v>
      </c>
      <c r="Y1119" s="22">
        <v>272700</v>
      </c>
      <c r="Z1119" s="22">
        <v>7.5338000000000002E-3</v>
      </c>
    </row>
    <row r="1120" spans="19:26" ht="16" x14ac:dyDescent="0.2">
      <c r="S1120" s="23">
        <v>43760</v>
      </c>
      <c r="T1120" s="22">
        <v>20.100000399999999</v>
      </c>
      <c r="U1120" s="22">
        <v>20.290000899999999</v>
      </c>
      <c r="V1120" s="22">
        <v>19.9899998</v>
      </c>
      <c r="W1120" s="22">
        <v>20.090000199999999</v>
      </c>
      <c r="X1120" s="22">
        <v>15.790425300000001</v>
      </c>
      <c r="Y1120" s="22">
        <v>579500</v>
      </c>
      <c r="Z1120" s="22">
        <v>1.49558E-3</v>
      </c>
    </row>
    <row r="1121" spans="19:26" ht="16" x14ac:dyDescent="0.2">
      <c r="S1121" s="23">
        <v>43761</v>
      </c>
      <c r="T1121" s="22">
        <v>20.0699997</v>
      </c>
      <c r="U1121" s="22">
        <v>20.399999600000001</v>
      </c>
      <c r="V1121" s="22">
        <v>20</v>
      </c>
      <c r="W1121" s="22">
        <v>20.340000199999999</v>
      </c>
      <c r="X1121" s="22">
        <v>15.9869223</v>
      </c>
      <c r="Y1121" s="22">
        <v>1535500</v>
      </c>
      <c r="Z1121" s="22">
        <v>1.244406E-2</v>
      </c>
    </row>
    <row r="1122" spans="19:26" ht="16" x14ac:dyDescent="0.2">
      <c r="S1122" s="23">
        <v>43762</v>
      </c>
      <c r="T1122" s="22">
        <v>20.399999600000001</v>
      </c>
      <c r="U1122" s="22">
        <v>20.4300003</v>
      </c>
      <c r="V1122" s="22">
        <v>20.040000899999999</v>
      </c>
      <c r="W1122" s="22">
        <v>20.149999600000001</v>
      </c>
      <c r="X1122" s="22">
        <v>15.8375845</v>
      </c>
      <c r="Y1122" s="22">
        <v>315000</v>
      </c>
      <c r="Z1122" s="22">
        <v>-9.3411999999999992E-3</v>
      </c>
    </row>
    <row r="1123" spans="19:26" ht="16" x14ac:dyDescent="0.2">
      <c r="S1123" s="23">
        <v>43763</v>
      </c>
      <c r="T1123" s="22">
        <v>20.149999600000001</v>
      </c>
      <c r="U1123" s="22">
        <v>20.2399998</v>
      </c>
      <c r="V1123" s="22">
        <v>19.0599995</v>
      </c>
      <c r="W1123" s="22">
        <v>19.329999900000001</v>
      </c>
      <c r="X1123" s="22">
        <v>15.193076100000001</v>
      </c>
      <c r="Y1123" s="22">
        <v>1198100</v>
      </c>
      <c r="Z1123" s="22">
        <v>-4.0694899999999999E-2</v>
      </c>
    </row>
    <row r="1124" spans="19:26" ht="16" x14ac:dyDescent="0.2">
      <c r="S1124" s="23">
        <v>43766</v>
      </c>
      <c r="T1124" s="22">
        <v>18.469999300000001</v>
      </c>
      <c r="U1124" s="22">
        <v>18.549999199999998</v>
      </c>
      <c r="V1124" s="22">
        <v>16.979999500000002</v>
      </c>
      <c r="W1124" s="22">
        <v>17.040000899999999</v>
      </c>
      <c r="X1124" s="22">
        <v>13.3931732</v>
      </c>
      <c r="Y1124" s="22">
        <v>1835900</v>
      </c>
      <c r="Z1124" s="22">
        <v>-0.11846859999999999</v>
      </c>
    </row>
    <row r="1125" spans="19:26" ht="16" x14ac:dyDescent="0.2">
      <c r="S1125" s="23">
        <v>43767</v>
      </c>
      <c r="T1125" s="22">
        <v>16.9899998</v>
      </c>
      <c r="U1125" s="22">
        <v>17.829999900000001</v>
      </c>
      <c r="V1125" s="22">
        <v>16.950000800000002</v>
      </c>
      <c r="W1125" s="22">
        <v>17.549999199999998</v>
      </c>
      <c r="X1125" s="22">
        <v>13.794024500000001</v>
      </c>
      <c r="Y1125" s="22">
        <v>664000</v>
      </c>
      <c r="Z1125" s="22">
        <v>2.9929520000000001E-2</v>
      </c>
    </row>
    <row r="1126" spans="19:26" ht="16" x14ac:dyDescent="0.2">
      <c r="S1126" s="23">
        <v>43768</v>
      </c>
      <c r="T1126" s="22">
        <v>17.590000199999999</v>
      </c>
      <c r="U1126" s="22">
        <v>18.399999600000001</v>
      </c>
      <c r="V1126" s="22">
        <v>17.579999900000001</v>
      </c>
      <c r="W1126" s="22">
        <v>18.149999600000001</v>
      </c>
      <c r="X1126" s="22">
        <v>14.265615499999999</v>
      </c>
      <c r="Y1126" s="22">
        <v>1021700</v>
      </c>
      <c r="Z1126" s="22">
        <v>3.4188059999999999E-2</v>
      </c>
    </row>
    <row r="1127" spans="19:26" ht="16" x14ac:dyDescent="0.2">
      <c r="S1127" s="23">
        <v>43769</v>
      </c>
      <c r="T1127" s="22">
        <v>18.159999800000001</v>
      </c>
      <c r="U1127" s="22">
        <v>18.209999100000001</v>
      </c>
      <c r="V1127" s="22">
        <v>17.840000199999999</v>
      </c>
      <c r="W1127" s="22">
        <v>18.1299992</v>
      </c>
      <c r="X1127" s="22">
        <v>14.249894100000001</v>
      </c>
      <c r="Y1127" s="22">
        <v>611500</v>
      </c>
      <c r="Z1127" s="22">
        <v>-1.1019999999999999E-3</v>
      </c>
    </row>
    <row r="1128" spans="19:26" ht="16" x14ac:dyDescent="0.2">
      <c r="S1128" s="23">
        <v>43770</v>
      </c>
      <c r="T1128" s="22">
        <v>18.139999400000001</v>
      </c>
      <c r="U1128" s="22">
        <v>18.5599995</v>
      </c>
      <c r="V1128" s="22">
        <v>18.079999900000001</v>
      </c>
      <c r="W1128" s="22">
        <v>18.549999199999998</v>
      </c>
      <c r="X1128" s="22">
        <v>14.5800076</v>
      </c>
      <c r="Y1128" s="22">
        <v>692900</v>
      </c>
      <c r="Z1128" s="22">
        <v>2.3166030000000001E-2</v>
      </c>
    </row>
    <row r="1129" spans="19:26" ht="16" x14ac:dyDescent="0.2">
      <c r="S1129" s="23">
        <v>43773</v>
      </c>
      <c r="T1129" s="22">
        <v>18.639999400000001</v>
      </c>
      <c r="U1129" s="22">
        <v>18.8799992</v>
      </c>
      <c r="V1129" s="22">
        <v>18.600000399999999</v>
      </c>
      <c r="W1129" s="22">
        <v>18.799999199999998</v>
      </c>
      <c r="X1129" s="22">
        <v>14.776505500000001</v>
      </c>
      <c r="Y1129" s="22">
        <v>567200</v>
      </c>
      <c r="Z1129" s="22">
        <v>1.347722E-2</v>
      </c>
    </row>
    <row r="1130" spans="19:26" ht="16" x14ac:dyDescent="0.2">
      <c r="S1130" s="23">
        <v>43774</v>
      </c>
      <c r="T1130" s="22">
        <v>18.969999300000001</v>
      </c>
      <c r="U1130" s="22">
        <v>19.1299992</v>
      </c>
      <c r="V1130" s="22">
        <v>18.729999500000002</v>
      </c>
      <c r="W1130" s="22">
        <v>18.9400005</v>
      </c>
      <c r="X1130" s="22">
        <v>14.8865423</v>
      </c>
      <c r="Y1130" s="22">
        <v>432900</v>
      </c>
      <c r="Z1130" s="22">
        <v>7.4467400000000003E-3</v>
      </c>
    </row>
    <row r="1131" spans="19:26" ht="16" x14ac:dyDescent="0.2">
      <c r="S1131" s="23">
        <v>43775</v>
      </c>
      <c r="T1131" s="22">
        <v>19.090000199999999</v>
      </c>
      <c r="U1131" s="22">
        <v>19.1800003</v>
      </c>
      <c r="V1131" s="22">
        <v>18.649999600000001</v>
      </c>
      <c r="W1131" s="22">
        <v>19.0699997</v>
      </c>
      <c r="X1131" s="22">
        <v>14.9887228</v>
      </c>
      <c r="Y1131" s="22">
        <v>621100</v>
      </c>
      <c r="Z1131" s="22">
        <v>6.8639499999999997E-3</v>
      </c>
    </row>
    <row r="1132" spans="19:26" ht="16" x14ac:dyDescent="0.2">
      <c r="S1132" s="23">
        <v>43776</v>
      </c>
      <c r="T1132" s="22">
        <v>19.280000699999999</v>
      </c>
      <c r="U1132" s="22">
        <v>19.889999400000001</v>
      </c>
      <c r="V1132" s="22">
        <v>18.979999500000002</v>
      </c>
      <c r="W1132" s="22">
        <v>19.450000800000002</v>
      </c>
      <c r="X1132" s="22">
        <v>15.287395500000001</v>
      </c>
      <c r="Y1132" s="22">
        <v>869500</v>
      </c>
      <c r="Z1132" s="22">
        <v>1.9926490000000002E-2</v>
      </c>
    </row>
    <row r="1133" spans="19:26" ht="16" x14ac:dyDescent="0.2">
      <c r="S1133" s="23">
        <v>43777</v>
      </c>
      <c r="T1133" s="22">
        <v>19.4400005</v>
      </c>
      <c r="U1133" s="22">
        <v>19.6200008</v>
      </c>
      <c r="V1133" s="22">
        <v>19.149999600000001</v>
      </c>
      <c r="W1133" s="22">
        <v>19.5</v>
      </c>
      <c r="X1133" s="22">
        <v>15.3266945</v>
      </c>
      <c r="Y1133" s="22">
        <v>493700</v>
      </c>
      <c r="Z1133" s="22">
        <v>2.5706800000000001E-3</v>
      </c>
    </row>
    <row r="1134" spans="19:26" ht="16" x14ac:dyDescent="0.2">
      <c r="S1134" s="23">
        <v>43780</v>
      </c>
      <c r="T1134" s="22">
        <v>19.469999300000001</v>
      </c>
      <c r="U1134" s="22">
        <v>19.719999300000001</v>
      </c>
      <c r="V1134" s="22">
        <v>19.469999300000001</v>
      </c>
      <c r="W1134" s="22">
        <v>19.600000399999999</v>
      </c>
      <c r="X1134" s="22">
        <v>15.405293500000001</v>
      </c>
      <c r="Y1134" s="22">
        <v>406300</v>
      </c>
      <c r="Z1134" s="22">
        <v>5.1282400000000001E-3</v>
      </c>
    </row>
    <row r="1135" spans="19:26" ht="16" x14ac:dyDescent="0.2">
      <c r="S1135" s="23">
        <v>43781</v>
      </c>
      <c r="T1135" s="22">
        <v>19.579999900000001</v>
      </c>
      <c r="U1135" s="22">
        <v>19.770000499999998</v>
      </c>
      <c r="V1135" s="22">
        <v>19.5</v>
      </c>
      <c r="W1135" s="22">
        <v>19.670000099999999</v>
      </c>
      <c r="X1135" s="22">
        <v>15.460311900000001</v>
      </c>
      <c r="Y1135" s="22">
        <v>373600</v>
      </c>
      <c r="Z1135" s="22">
        <v>3.5714000000000002E-3</v>
      </c>
    </row>
    <row r="1136" spans="19:26" ht="16" x14ac:dyDescent="0.2">
      <c r="S1136" s="23">
        <v>43782</v>
      </c>
      <c r="T1136" s="22">
        <v>19.6299992</v>
      </c>
      <c r="U1136" s="22">
        <v>19.7399998</v>
      </c>
      <c r="V1136" s="22">
        <v>19.299999199999998</v>
      </c>
      <c r="W1136" s="22">
        <v>19.340000199999999</v>
      </c>
      <c r="X1136" s="22">
        <v>15.2009344</v>
      </c>
      <c r="Y1136" s="22">
        <v>487400</v>
      </c>
      <c r="Z1136" s="22">
        <v>-1.6777E-2</v>
      </c>
    </row>
    <row r="1137" spans="19:26" ht="16" x14ac:dyDescent="0.2">
      <c r="S1137" s="23">
        <v>43783</v>
      </c>
      <c r="T1137" s="22">
        <v>19.360000599999999</v>
      </c>
      <c r="U1137" s="22">
        <v>19.8700008</v>
      </c>
      <c r="V1137" s="22">
        <v>19.360000599999999</v>
      </c>
      <c r="W1137" s="22">
        <v>19.8700008</v>
      </c>
      <c r="X1137" s="22">
        <v>15.617509800000001</v>
      </c>
      <c r="Y1137" s="22">
        <v>390800</v>
      </c>
      <c r="Z1137" s="22">
        <v>2.740459E-2</v>
      </c>
    </row>
    <row r="1138" spans="19:26" ht="16" x14ac:dyDescent="0.2">
      <c r="S1138" s="23">
        <v>43784</v>
      </c>
      <c r="T1138" s="22">
        <v>19.9400005</v>
      </c>
      <c r="U1138" s="22">
        <v>20.040000899999999</v>
      </c>
      <c r="V1138" s="22">
        <v>19.6800003</v>
      </c>
      <c r="W1138" s="22">
        <v>19.75</v>
      </c>
      <c r="X1138" s="22">
        <v>15.5231934</v>
      </c>
      <c r="Y1138" s="22">
        <v>442700</v>
      </c>
      <c r="Z1138" s="22">
        <v>-6.0391000000000004E-3</v>
      </c>
    </row>
    <row r="1139" spans="19:26" ht="16" x14ac:dyDescent="0.2">
      <c r="S1139" s="23">
        <v>43787</v>
      </c>
      <c r="T1139" s="22">
        <v>19.7399998</v>
      </c>
      <c r="U1139" s="22">
        <v>19.799999199999998</v>
      </c>
      <c r="V1139" s="22">
        <v>19.4400005</v>
      </c>
      <c r="W1139" s="22">
        <v>19.549999199999998</v>
      </c>
      <c r="X1139" s="22">
        <v>15.3659935</v>
      </c>
      <c r="Y1139" s="22">
        <v>574800</v>
      </c>
      <c r="Z1139" s="22">
        <v>-1.01268E-2</v>
      </c>
    </row>
    <row r="1140" spans="19:26" ht="16" x14ac:dyDescent="0.2">
      <c r="S1140" s="23">
        <v>43788</v>
      </c>
      <c r="T1140" s="22">
        <v>19.6299992</v>
      </c>
      <c r="U1140" s="22">
        <v>19.6800003</v>
      </c>
      <c r="V1140" s="22">
        <v>19.469999300000001</v>
      </c>
      <c r="W1140" s="22">
        <v>19.469999300000001</v>
      </c>
      <c r="X1140" s="22">
        <v>15.303113</v>
      </c>
      <c r="Y1140" s="22">
        <v>478000</v>
      </c>
      <c r="Z1140" s="22">
        <v>-4.0921999999999998E-3</v>
      </c>
    </row>
    <row r="1141" spans="19:26" ht="16" x14ac:dyDescent="0.2">
      <c r="S1141" s="23">
        <v>43789</v>
      </c>
      <c r="T1141" s="22">
        <v>19.399999600000001</v>
      </c>
      <c r="U1141" s="22">
        <v>19.6200008</v>
      </c>
      <c r="V1141" s="22">
        <v>19.280000699999999</v>
      </c>
      <c r="W1141" s="22">
        <v>19.399999600000001</v>
      </c>
      <c r="X1141" s="22">
        <v>15.248096500000001</v>
      </c>
      <c r="Y1141" s="22">
        <v>704400</v>
      </c>
      <c r="Z1141" s="22">
        <v>-3.5950999999999999E-3</v>
      </c>
    </row>
    <row r="1142" spans="19:26" ht="16" x14ac:dyDescent="0.2">
      <c r="S1142" s="23">
        <v>43790</v>
      </c>
      <c r="T1142" s="22">
        <v>19.459999100000001</v>
      </c>
      <c r="U1142" s="22">
        <v>19.600000399999999</v>
      </c>
      <c r="V1142" s="22">
        <v>19.229999500000002</v>
      </c>
      <c r="W1142" s="22">
        <v>19.25</v>
      </c>
      <c r="X1142" s="22">
        <v>15.130198500000001</v>
      </c>
      <c r="Y1142" s="22">
        <v>339800</v>
      </c>
      <c r="Z1142" s="22">
        <v>-7.7320000000000002E-3</v>
      </c>
    </row>
    <row r="1143" spans="19:26" ht="16" x14ac:dyDescent="0.2">
      <c r="S1143" s="23">
        <v>43791</v>
      </c>
      <c r="T1143" s="22">
        <v>19.299999199999998</v>
      </c>
      <c r="U1143" s="22">
        <v>19.540000899999999</v>
      </c>
      <c r="V1143" s="22">
        <v>19.2399998</v>
      </c>
      <c r="W1143" s="22">
        <v>19.299999199999998</v>
      </c>
      <c r="X1143" s="22">
        <v>15.169495599999999</v>
      </c>
      <c r="Y1143" s="22">
        <v>452000</v>
      </c>
      <c r="Z1143" s="22">
        <v>2.5972600000000001E-3</v>
      </c>
    </row>
    <row r="1144" spans="19:26" ht="16" x14ac:dyDescent="0.2">
      <c r="S1144" s="23">
        <v>43794</v>
      </c>
      <c r="T1144" s="22">
        <v>19.399999600000001</v>
      </c>
      <c r="U1144" s="22">
        <v>19.520000499999998</v>
      </c>
      <c r="V1144" s="22">
        <v>19.209999100000001</v>
      </c>
      <c r="W1144" s="22">
        <v>19.350000399999999</v>
      </c>
      <c r="X1144" s="22">
        <v>15.208798399999999</v>
      </c>
      <c r="Y1144" s="22">
        <v>730400</v>
      </c>
      <c r="Z1144" s="22">
        <v>2.5909100000000001E-3</v>
      </c>
    </row>
    <row r="1145" spans="19:26" ht="16" x14ac:dyDescent="0.2">
      <c r="S1145" s="23">
        <v>43795</v>
      </c>
      <c r="T1145" s="22">
        <v>19.399999600000001</v>
      </c>
      <c r="U1145" s="22">
        <v>19.8799992</v>
      </c>
      <c r="V1145" s="22">
        <v>19.399999600000001</v>
      </c>
      <c r="W1145" s="22">
        <v>19.770000499999998</v>
      </c>
      <c r="X1145" s="22">
        <v>15.538907099999999</v>
      </c>
      <c r="Y1145" s="22">
        <v>690100</v>
      </c>
      <c r="Z1145" s="22">
        <v>2.170511E-2</v>
      </c>
    </row>
    <row r="1146" spans="19:26" ht="16" x14ac:dyDescent="0.2">
      <c r="S1146" s="23">
        <v>43796</v>
      </c>
      <c r="T1146" s="22">
        <v>19.860000599999999</v>
      </c>
      <c r="U1146" s="22">
        <v>20.020000499999998</v>
      </c>
      <c r="V1146" s="22">
        <v>19.7600002</v>
      </c>
      <c r="W1146" s="22">
        <v>19.950000800000002</v>
      </c>
      <c r="X1146" s="22">
        <v>15.680385599999999</v>
      </c>
      <c r="Y1146" s="22">
        <v>462700</v>
      </c>
      <c r="Z1146" s="22">
        <v>9.1047899999999998E-3</v>
      </c>
    </row>
    <row r="1147" spans="19:26" ht="16" x14ac:dyDescent="0.2">
      <c r="S1147" s="23">
        <v>43798</v>
      </c>
      <c r="T1147" s="22">
        <v>19.729999500000002</v>
      </c>
      <c r="U1147" s="22">
        <v>19.9899998</v>
      </c>
      <c r="V1147" s="22">
        <v>19.659999800000001</v>
      </c>
      <c r="W1147" s="22">
        <v>19.829999900000001</v>
      </c>
      <c r="X1147" s="22">
        <v>15.743901299999999</v>
      </c>
      <c r="Y1147" s="22">
        <v>188100</v>
      </c>
      <c r="Z1147" s="22">
        <v>4.0506400000000003E-3</v>
      </c>
    </row>
    <row r="1148" spans="19:26" ht="16" x14ac:dyDescent="0.2">
      <c r="S1148" s="23">
        <v>43801</v>
      </c>
      <c r="T1148" s="22">
        <v>19.7600002</v>
      </c>
      <c r="U1148" s="22">
        <v>19.840000199999999</v>
      </c>
      <c r="V1148" s="22">
        <v>19.2600002</v>
      </c>
      <c r="W1148" s="22">
        <v>19.299999199999998</v>
      </c>
      <c r="X1148" s="22">
        <v>15.3231115</v>
      </c>
      <c r="Y1148" s="22">
        <v>599200</v>
      </c>
      <c r="Z1148" s="22">
        <v>-2.67272E-2</v>
      </c>
    </row>
    <row r="1149" spans="19:26" ht="16" x14ac:dyDescent="0.2">
      <c r="S1149" s="23">
        <v>43802</v>
      </c>
      <c r="T1149" s="22">
        <v>18.639999400000001</v>
      </c>
      <c r="U1149" s="22">
        <v>19.200000800000002</v>
      </c>
      <c r="V1149" s="22">
        <v>18.549999199999998</v>
      </c>
      <c r="W1149" s="22">
        <v>19.110000599999999</v>
      </c>
      <c r="X1149" s="22">
        <v>15.1722641</v>
      </c>
      <c r="Y1149" s="22">
        <v>2849100</v>
      </c>
      <c r="Z1149" s="22">
        <v>-9.8443999999999997E-3</v>
      </c>
    </row>
    <row r="1150" spans="19:26" ht="16" x14ac:dyDescent="0.2">
      <c r="S1150" s="23">
        <v>43803</v>
      </c>
      <c r="T1150" s="22">
        <v>19.350000399999999</v>
      </c>
      <c r="U1150" s="22">
        <v>19.979999500000002</v>
      </c>
      <c r="V1150" s="22">
        <v>19.1900005</v>
      </c>
      <c r="W1150" s="22">
        <v>19.200000800000002</v>
      </c>
      <c r="X1150" s="22">
        <v>15.243713400000001</v>
      </c>
      <c r="Y1150" s="22">
        <v>1087000</v>
      </c>
      <c r="Z1150" s="22">
        <v>4.7092000000000002E-3</v>
      </c>
    </row>
    <row r="1151" spans="19:26" ht="16" x14ac:dyDescent="0.2">
      <c r="S1151" s="23">
        <v>43804</v>
      </c>
      <c r="T1151" s="22">
        <v>19.229999500000002</v>
      </c>
      <c r="U1151" s="22">
        <v>19.399999600000001</v>
      </c>
      <c r="V1151" s="22">
        <v>19.149999600000001</v>
      </c>
      <c r="W1151" s="22">
        <v>19.3799992</v>
      </c>
      <c r="X1151" s="22">
        <v>15.3866272</v>
      </c>
      <c r="Y1151" s="22">
        <v>683600</v>
      </c>
      <c r="Z1151" s="22">
        <v>9.3752599999999998E-3</v>
      </c>
    </row>
    <row r="1152" spans="19:26" ht="16" x14ac:dyDescent="0.2">
      <c r="S1152" s="23">
        <v>43805</v>
      </c>
      <c r="T1152" s="22">
        <v>19.409999800000001</v>
      </c>
      <c r="U1152" s="22">
        <v>19.639999400000001</v>
      </c>
      <c r="V1152" s="22">
        <v>19.219999300000001</v>
      </c>
      <c r="W1152" s="22">
        <v>19.25</v>
      </c>
      <c r="X1152" s="22">
        <v>15.283414799999999</v>
      </c>
      <c r="Y1152" s="22">
        <v>601800</v>
      </c>
      <c r="Z1152" s="22">
        <v>-6.7079000000000001E-3</v>
      </c>
    </row>
    <row r="1153" spans="19:26" ht="16" x14ac:dyDescent="0.2">
      <c r="S1153" s="23">
        <v>43808</v>
      </c>
      <c r="T1153" s="22">
        <v>19.3799992</v>
      </c>
      <c r="U1153" s="22">
        <v>19.790000899999999</v>
      </c>
      <c r="V1153" s="22">
        <v>19.2600002</v>
      </c>
      <c r="W1153" s="22">
        <v>19.5699997</v>
      </c>
      <c r="X1153" s="22">
        <v>15.5374794</v>
      </c>
      <c r="Y1153" s="22">
        <v>823800</v>
      </c>
      <c r="Z1153" s="22">
        <v>1.6623550000000001E-2</v>
      </c>
    </row>
    <row r="1154" spans="19:26" ht="16" x14ac:dyDescent="0.2">
      <c r="S1154" s="23">
        <v>43809</v>
      </c>
      <c r="T1154" s="22">
        <v>19.540000899999999</v>
      </c>
      <c r="U1154" s="22">
        <v>19.829999900000001</v>
      </c>
      <c r="V1154" s="22">
        <v>19.4300003</v>
      </c>
      <c r="W1154" s="22">
        <v>19.7399998</v>
      </c>
      <c r="X1154" s="22">
        <v>15.672450100000001</v>
      </c>
      <c r="Y1154" s="22">
        <v>458900</v>
      </c>
      <c r="Z1154" s="22">
        <v>8.6867799999999998E-3</v>
      </c>
    </row>
    <row r="1155" spans="19:26" ht="16" x14ac:dyDescent="0.2">
      <c r="S1155" s="23">
        <v>43810</v>
      </c>
      <c r="T1155" s="22">
        <v>19.770000499999998</v>
      </c>
      <c r="U1155" s="22">
        <v>19.8199997</v>
      </c>
      <c r="V1155" s="22">
        <v>19.479999500000002</v>
      </c>
      <c r="W1155" s="22">
        <v>19.6299992</v>
      </c>
      <c r="X1155" s="22">
        <v>15.5851145</v>
      </c>
      <c r="Y1155" s="22">
        <v>424100</v>
      </c>
      <c r="Z1155" s="22">
        <v>-5.5725999999999996E-3</v>
      </c>
    </row>
    <row r="1156" spans="19:26" ht="16" x14ac:dyDescent="0.2">
      <c r="S1156" s="23">
        <v>43811</v>
      </c>
      <c r="T1156" s="22">
        <v>19.590000199999999</v>
      </c>
      <c r="U1156" s="22">
        <v>19.7399998</v>
      </c>
      <c r="V1156" s="22">
        <v>19.409999800000001</v>
      </c>
      <c r="W1156" s="22">
        <v>19.459999100000001</v>
      </c>
      <c r="X1156" s="22">
        <v>15.450143799999999</v>
      </c>
      <c r="Y1156" s="22">
        <v>395500</v>
      </c>
      <c r="Z1156" s="22">
        <v>-8.6601999999999998E-3</v>
      </c>
    </row>
    <row r="1157" spans="19:26" ht="16" x14ac:dyDescent="0.2">
      <c r="S1157" s="23">
        <v>43812</v>
      </c>
      <c r="T1157" s="22">
        <v>19.459999100000001</v>
      </c>
      <c r="U1157" s="22">
        <v>19.549999199999998</v>
      </c>
      <c r="V1157" s="22">
        <v>19.170000099999999</v>
      </c>
      <c r="W1157" s="22">
        <v>19.329999900000001</v>
      </c>
      <c r="X1157" s="22">
        <v>15.3469315</v>
      </c>
      <c r="Y1157" s="22">
        <v>547100</v>
      </c>
      <c r="Z1157" s="22">
        <v>-6.6803000000000001E-3</v>
      </c>
    </row>
    <row r="1158" spans="19:26" ht="16" x14ac:dyDescent="0.2">
      <c r="S1158" s="23">
        <v>43815</v>
      </c>
      <c r="T1158" s="22">
        <v>19.420000099999999</v>
      </c>
      <c r="U1158" s="22">
        <v>19.6900005</v>
      </c>
      <c r="V1158" s="22">
        <v>19.2399998</v>
      </c>
      <c r="W1158" s="22">
        <v>19.670000099999999</v>
      </c>
      <c r="X1158" s="22">
        <v>15.6168718</v>
      </c>
      <c r="Y1158" s="22">
        <v>707000</v>
      </c>
      <c r="Z1158" s="22">
        <v>1.7589210000000001E-2</v>
      </c>
    </row>
    <row r="1159" spans="19:26" ht="16" x14ac:dyDescent="0.2">
      <c r="S1159" s="23">
        <v>43816</v>
      </c>
      <c r="T1159" s="22">
        <v>19.6900005</v>
      </c>
      <c r="U1159" s="22">
        <v>19.729999500000002</v>
      </c>
      <c r="V1159" s="22">
        <v>19.3199997</v>
      </c>
      <c r="W1159" s="22">
        <v>19.360000599999999</v>
      </c>
      <c r="X1159" s="22">
        <v>15.370752299999999</v>
      </c>
      <c r="Y1159" s="22">
        <v>498100</v>
      </c>
      <c r="Z1159" s="22">
        <v>-1.5759800000000001E-2</v>
      </c>
    </row>
    <row r="1160" spans="19:26" ht="16" x14ac:dyDescent="0.2">
      <c r="S1160" s="23">
        <v>43817</v>
      </c>
      <c r="T1160" s="22">
        <v>19.350000399999999</v>
      </c>
      <c r="U1160" s="22">
        <v>19.4899998</v>
      </c>
      <c r="V1160" s="22">
        <v>19.1299992</v>
      </c>
      <c r="W1160" s="22">
        <v>19.450000800000002</v>
      </c>
      <c r="X1160" s="22">
        <v>15.4422064</v>
      </c>
      <c r="Y1160" s="22">
        <v>527600</v>
      </c>
      <c r="Z1160" s="22">
        <v>4.6487000000000004E-3</v>
      </c>
    </row>
    <row r="1161" spans="19:26" ht="16" x14ac:dyDescent="0.2">
      <c r="S1161" s="23">
        <v>43818</v>
      </c>
      <c r="T1161" s="22">
        <v>19.459999100000001</v>
      </c>
      <c r="U1161" s="22">
        <v>19.780000699999999</v>
      </c>
      <c r="V1161" s="22">
        <v>19.459999100000001</v>
      </c>
      <c r="W1161" s="22">
        <v>19.639999400000001</v>
      </c>
      <c r="X1161" s="22">
        <v>15.593051000000001</v>
      </c>
      <c r="Y1161" s="22">
        <v>375900</v>
      </c>
      <c r="Z1161" s="22">
        <v>9.7683300000000004E-3</v>
      </c>
    </row>
    <row r="1162" spans="19:26" ht="16" x14ac:dyDescent="0.2">
      <c r="S1162" s="23">
        <v>43819</v>
      </c>
      <c r="T1162" s="22">
        <v>19.610000599999999</v>
      </c>
      <c r="U1162" s="22">
        <v>20.2399998</v>
      </c>
      <c r="V1162" s="22">
        <v>19.610000599999999</v>
      </c>
      <c r="W1162" s="22">
        <v>19.9899998</v>
      </c>
      <c r="X1162" s="22">
        <v>15.8709354</v>
      </c>
      <c r="Y1162" s="22">
        <v>1557500</v>
      </c>
      <c r="Z1162" s="22">
        <v>1.7821050000000001E-2</v>
      </c>
    </row>
    <row r="1163" spans="19:26" ht="16" x14ac:dyDescent="0.2">
      <c r="S1163" s="23">
        <v>43822</v>
      </c>
      <c r="T1163" s="22">
        <v>20</v>
      </c>
      <c r="U1163" s="22">
        <v>20</v>
      </c>
      <c r="V1163" s="22">
        <v>19.7600002</v>
      </c>
      <c r="W1163" s="22">
        <v>19.850000399999999</v>
      </c>
      <c r="X1163" s="22">
        <v>15.759784700000001</v>
      </c>
      <c r="Y1163" s="22">
        <v>252800</v>
      </c>
      <c r="Z1163" s="22">
        <v>-7.0033999999999999E-3</v>
      </c>
    </row>
    <row r="1164" spans="19:26" ht="16" x14ac:dyDescent="0.2">
      <c r="S1164" s="23">
        <v>43823</v>
      </c>
      <c r="T1164" s="22">
        <v>19.889999400000001</v>
      </c>
      <c r="U1164" s="22">
        <v>19.899999600000001</v>
      </c>
      <c r="V1164" s="22">
        <v>19.610000599999999</v>
      </c>
      <c r="W1164" s="22">
        <v>19.6800003</v>
      </c>
      <c r="X1164" s="22">
        <v>15.6248083</v>
      </c>
      <c r="Y1164" s="22">
        <v>142700</v>
      </c>
      <c r="Z1164" s="22">
        <v>-8.5646000000000003E-3</v>
      </c>
    </row>
    <row r="1165" spans="19:26" ht="16" x14ac:dyDescent="0.2">
      <c r="S1165" s="23">
        <v>43825</v>
      </c>
      <c r="T1165" s="22">
        <v>19.700000800000002</v>
      </c>
      <c r="U1165" s="22">
        <v>19.9300003</v>
      </c>
      <c r="V1165" s="22">
        <v>19.6299992</v>
      </c>
      <c r="W1165" s="22">
        <v>19.850000399999999</v>
      </c>
      <c r="X1165" s="22">
        <v>15.759784700000001</v>
      </c>
      <c r="Y1165" s="22">
        <v>233800</v>
      </c>
      <c r="Z1165" s="22">
        <v>8.6385899999999998E-3</v>
      </c>
    </row>
    <row r="1166" spans="19:26" ht="16" x14ac:dyDescent="0.2">
      <c r="S1166" s="23">
        <v>43826</v>
      </c>
      <c r="T1166" s="22">
        <v>19.8799992</v>
      </c>
      <c r="U1166" s="22">
        <v>20.049999199999998</v>
      </c>
      <c r="V1166" s="22">
        <v>19.7399998</v>
      </c>
      <c r="W1166" s="22">
        <v>20.020000499999998</v>
      </c>
      <c r="X1166" s="22">
        <v>15.8947535</v>
      </c>
      <c r="Y1166" s="22">
        <v>249000</v>
      </c>
      <c r="Z1166" s="22">
        <v>8.5641199999999997E-3</v>
      </c>
    </row>
    <row r="1167" spans="19:26" ht="16" x14ac:dyDescent="0.2">
      <c r="S1167" s="23">
        <v>43829</v>
      </c>
      <c r="T1167" s="22">
        <v>20.0100002</v>
      </c>
      <c r="U1167" s="22">
        <v>20.229999500000002</v>
      </c>
      <c r="V1167" s="22">
        <v>19.950000800000002</v>
      </c>
      <c r="W1167" s="22">
        <v>20.100000399999999</v>
      </c>
      <c r="X1167" s="22">
        <v>15.9582672</v>
      </c>
      <c r="Y1167" s="22">
        <v>561300</v>
      </c>
      <c r="Z1167" s="22">
        <v>3.9958900000000002E-3</v>
      </c>
    </row>
    <row r="1168" spans="19:26" ht="16" x14ac:dyDescent="0.2">
      <c r="S1168" s="23">
        <v>43830</v>
      </c>
      <c r="T1168" s="22">
        <v>20.079999900000001</v>
      </c>
      <c r="U1168" s="22">
        <v>20.270000499999998</v>
      </c>
      <c r="V1168" s="22">
        <v>19.950000800000002</v>
      </c>
      <c r="W1168" s="22">
        <v>19.950000800000002</v>
      </c>
      <c r="X1168" s="22">
        <v>15.839176200000001</v>
      </c>
      <c r="Y1168" s="22">
        <v>388200</v>
      </c>
      <c r="Z1168" s="22">
        <v>-7.4627000000000001E-3</v>
      </c>
    </row>
    <row r="1169" spans="19:26" ht="16" x14ac:dyDescent="0.2">
      <c r="S1169" s="23">
        <v>43832</v>
      </c>
      <c r="T1169" s="22">
        <v>20.030000699999999</v>
      </c>
      <c r="U1169" s="22">
        <v>20.1299992</v>
      </c>
      <c r="V1169" s="22">
        <v>19.9300003</v>
      </c>
      <c r="W1169" s="22">
        <v>20.049999199999998</v>
      </c>
      <c r="X1169" s="22">
        <v>15.9185696</v>
      </c>
      <c r="Y1169" s="22">
        <v>317900</v>
      </c>
      <c r="Z1169" s="22">
        <v>5.0124699999999998E-3</v>
      </c>
    </row>
    <row r="1170" spans="19:26" ht="16" x14ac:dyDescent="0.2">
      <c r="S1170" s="23">
        <v>43833</v>
      </c>
      <c r="T1170" s="22">
        <v>19.899999600000001</v>
      </c>
      <c r="U1170" s="22">
        <v>20.110000599999999</v>
      </c>
      <c r="V1170" s="22">
        <v>19.899999600000001</v>
      </c>
      <c r="W1170" s="22">
        <v>20.0100002</v>
      </c>
      <c r="X1170" s="22">
        <v>15.8868151</v>
      </c>
      <c r="Y1170" s="22">
        <v>773100</v>
      </c>
      <c r="Z1170" s="22">
        <v>-1.9948000000000001E-3</v>
      </c>
    </row>
    <row r="1171" spans="19:26" ht="16" x14ac:dyDescent="0.2">
      <c r="S1171" s="23">
        <v>43836</v>
      </c>
      <c r="T1171" s="22">
        <v>20.020000499999998</v>
      </c>
      <c r="U1171" s="22">
        <v>20.290000899999999</v>
      </c>
      <c r="V1171" s="22">
        <v>20.0100002</v>
      </c>
      <c r="W1171" s="22">
        <v>20.0699997</v>
      </c>
      <c r="X1171" s="22">
        <v>15.9344492</v>
      </c>
      <c r="Y1171" s="22">
        <v>289000</v>
      </c>
      <c r="Z1171" s="22">
        <v>2.9983399999999999E-3</v>
      </c>
    </row>
    <row r="1172" spans="19:26" ht="16" x14ac:dyDescent="0.2">
      <c r="S1172" s="23">
        <v>43837</v>
      </c>
      <c r="T1172" s="22">
        <v>20.0100002</v>
      </c>
      <c r="U1172" s="22">
        <v>20.1299992</v>
      </c>
      <c r="V1172" s="22">
        <v>19.9300003</v>
      </c>
      <c r="W1172" s="22">
        <v>19.979999500000002</v>
      </c>
      <c r="X1172" s="22">
        <v>15.8629961</v>
      </c>
      <c r="Y1172" s="22">
        <v>810800</v>
      </c>
      <c r="Z1172" s="22">
        <v>-4.4841999999999998E-3</v>
      </c>
    </row>
    <row r="1173" spans="19:26" ht="16" x14ac:dyDescent="0.2">
      <c r="S1173" s="23">
        <v>43838</v>
      </c>
      <c r="T1173" s="22">
        <v>20.0100002</v>
      </c>
      <c r="U1173" s="22">
        <v>20.389999400000001</v>
      </c>
      <c r="V1173" s="22">
        <v>19.840000199999999</v>
      </c>
      <c r="W1173" s="22">
        <v>20.200000800000002</v>
      </c>
      <c r="X1173" s="22">
        <v>16.037660599999999</v>
      </c>
      <c r="Y1173" s="22">
        <v>1150300</v>
      </c>
      <c r="Z1173" s="22">
        <v>1.1010809999999999E-2</v>
      </c>
    </row>
    <row r="1174" spans="19:26" ht="16" x14ac:dyDescent="0.2">
      <c r="S1174" s="23">
        <v>43839</v>
      </c>
      <c r="T1174" s="22">
        <v>20.280000699999999</v>
      </c>
      <c r="U1174" s="22">
        <v>20.389999400000001</v>
      </c>
      <c r="V1174" s="22">
        <v>20.049999199999998</v>
      </c>
      <c r="W1174" s="22">
        <v>20.280000699999999</v>
      </c>
      <c r="X1174" s="22">
        <v>16.101177199999999</v>
      </c>
      <c r="Y1174" s="22">
        <v>848400</v>
      </c>
      <c r="Z1174" s="22">
        <v>3.9604699999999998E-3</v>
      </c>
    </row>
    <row r="1175" spans="19:26" ht="16" x14ac:dyDescent="0.2">
      <c r="S1175" s="23">
        <v>43840</v>
      </c>
      <c r="T1175" s="22">
        <v>20.280000699999999</v>
      </c>
      <c r="U1175" s="22">
        <v>20.329999900000001</v>
      </c>
      <c r="V1175" s="22">
        <v>20.090000199999999</v>
      </c>
      <c r="W1175" s="22">
        <v>20.110000599999999</v>
      </c>
      <c r="X1175" s="22">
        <v>15.9662056</v>
      </c>
      <c r="Y1175" s="22">
        <v>352600</v>
      </c>
      <c r="Z1175" s="22">
        <v>-8.3826999999999999E-3</v>
      </c>
    </row>
    <row r="1176" spans="19:26" ht="16" x14ac:dyDescent="0.2">
      <c r="S1176" s="23">
        <v>43843</v>
      </c>
      <c r="T1176" s="22">
        <v>20.040000899999999</v>
      </c>
      <c r="U1176" s="22">
        <v>20.340000199999999</v>
      </c>
      <c r="V1176" s="22">
        <v>19.9899998</v>
      </c>
      <c r="W1176" s="22">
        <v>20.149999600000001</v>
      </c>
      <c r="X1176" s="22">
        <v>15.997963</v>
      </c>
      <c r="Y1176" s="22">
        <v>1126300</v>
      </c>
      <c r="Z1176" s="22">
        <v>1.9890400000000001E-3</v>
      </c>
    </row>
    <row r="1177" spans="19:26" ht="16" x14ac:dyDescent="0.2">
      <c r="S1177" s="23">
        <v>43844</v>
      </c>
      <c r="T1177" s="22">
        <v>20.229999500000002</v>
      </c>
      <c r="U1177" s="22">
        <v>20.729999500000002</v>
      </c>
      <c r="V1177" s="22">
        <v>20.149999600000001</v>
      </c>
      <c r="W1177" s="22">
        <v>20.719999300000001</v>
      </c>
      <c r="X1177" s="22">
        <v>16.450511899999999</v>
      </c>
      <c r="Y1177" s="22">
        <v>563300</v>
      </c>
      <c r="Z1177" s="22">
        <v>2.8287909999999999E-2</v>
      </c>
    </row>
    <row r="1178" spans="19:26" ht="16" x14ac:dyDescent="0.2">
      <c r="S1178" s="23">
        <v>43845</v>
      </c>
      <c r="T1178" s="22">
        <v>20.8099995</v>
      </c>
      <c r="U1178" s="22">
        <v>21.479999500000002</v>
      </c>
      <c r="V1178" s="22">
        <v>20.729999500000002</v>
      </c>
      <c r="W1178" s="22">
        <v>21.469999300000001</v>
      </c>
      <c r="X1178" s="22">
        <v>17.045968999999999</v>
      </c>
      <c r="Y1178" s="22">
        <v>790100</v>
      </c>
      <c r="Z1178" s="22">
        <v>3.6196869999999999E-2</v>
      </c>
    </row>
    <row r="1179" spans="19:26" ht="16" x14ac:dyDescent="0.2">
      <c r="S1179" s="23">
        <v>43846</v>
      </c>
      <c r="T1179" s="22">
        <v>21.4400005</v>
      </c>
      <c r="U1179" s="22">
        <v>21.6900005</v>
      </c>
      <c r="V1179" s="22">
        <v>21.360000599999999</v>
      </c>
      <c r="W1179" s="22">
        <v>21.610000599999999</v>
      </c>
      <c r="X1179" s="22">
        <v>17.157123599999998</v>
      </c>
      <c r="Y1179" s="22">
        <v>472000</v>
      </c>
      <c r="Z1179" s="22">
        <v>6.5208699999999998E-3</v>
      </c>
    </row>
    <row r="1180" spans="19:26" ht="16" x14ac:dyDescent="0.2">
      <c r="S1180" s="23">
        <v>43847</v>
      </c>
      <c r="T1180" s="22">
        <v>21.649999600000001</v>
      </c>
      <c r="U1180" s="22">
        <v>21.829999900000001</v>
      </c>
      <c r="V1180" s="22">
        <v>21.420000099999999</v>
      </c>
      <c r="W1180" s="22">
        <v>21.610000599999999</v>
      </c>
      <c r="X1180" s="22">
        <v>17.157123599999998</v>
      </c>
      <c r="Y1180" s="22">
        <v>532900</v>
      </c>
      <c r="Z1180" s="22">
        <v>0</v>
      </c>
    </row>
    <row r="1181" spans="19:26" ht="16" x14ac:dyDescent="0.2">
      <c r="S1181" s="23">
        <v>43851</v>
      </c>
      <c r="T1181" s="22">
        <v>21.6299992</v>
      </c>
      <c r="U1181" s="22">
        <v>21.889999400000001</v>
      </c>
      <c r="V1181" s="22">
        <v>21.420000099999999</v>
      </c>
      <c r="W1181" s="22">
        <v>21.6800003</v>
      </c>
      <c r="X1181" s="22">
        <v>17.212701800000001</v>
      </c>
      <c r="Y1181" s="22">
        <v>802700</v>
      </c>
      <c r="Z1181" s="22">
        <v>3.2393700000000001E-3</v>
      </c>
    </row>
    <row r="1182" spans="19:26" ht="16" x14ac:dyDescent="0.2">
      <c r="S1182" s="23">
        <v>43852</v>
      </c>
      <c r="T1182" s="22">
        <v>21.729999500000002</v>
      </c>
      <c r="U1182" s="22">
        <v>21.780000699999999</v>
      </c>
      <c r="V1182" s="22">
        <v>21.020000499999998</v>
      </c>
      <c r="W1182" s="22">
        <v>21.219999300000001</v>
      </c>
      <c r="X1182" s="22">
        <v>16.847484600000001</v>
      </c>
      <c r="Y1182" s="22">
        <v>849300</v>
      </c>
      <c r="Z1182" s="22">
        <v>-2.1217900000000001E-2</v>
      </c>
    </row>
    <row r="1183" spans="19:26" ht="16" x14ac:dyDescent="0.2">
      <c r="S1183" s="23">
        <v>43853</v>
      </c>
      <c r="T1183" s="22">
        <v>21.299999199999998</v>
      </c>
      <c r="U1183" s="22">
        <v>21.329999900000001</v>
      </c>
      <c r="V1183" s="22">
        <v>21</v>
      </c>
      <c r="W1183" s="22">
        <v>21.1900005</v>
      </c>
      <c r="X1183" s="22">
        <v>16.823665600000002</v>
      </c>
      <c r="Y1183" s="22">
        <v>1042900</v>
      </c>
      <c r="Z1183" s="22">
        <v>-1.4138E-3</v>
      </c>
    </row>
    <row r="1184" spans="19:26" ht="16" x14ac:dyDescent="0.2">
      <c r="S1184" s="23">
        <v>43854</v>
      </c>
      <c r="T1184" s="22">
        <v>21.2399998</v>
      </c>
      <c r="U1184" s="22">
        <v>21.5100002</v>
      </c>
      <c r="V1184" s="22">
        <v>21.149999600000001</v>
      </c>
      <c r="W1184" s="22">
        <v>21.299999199999998</v>
      </c>
      <c r="X1184" s="22">
        <v>16.9109993</v>
      </c>
      <c r="Y1184" s="22">
        <v>505400</v>
      </c>
      <c r="Z1184" s="22">
        <v>5.1911199999999996E-3</v>
      </c>
    </row>
    <row r="1185" spans="19:26" ht="16" x14ac:dyDescent="0.2">
      <c r="S1185" s="23">
        <v>43857</v>
      </c>
      <c r="T1185" s="22">
        <v>21.200000800000002</v>
      </c>
      <c r="U1185" s="22">
        <v>21.4400005</v>
      </c>
      <c r="V1185" s="22">
        <v>21.0699997</v>
      </c>
      <c r="W1185" s="22">
        <v>21.229999500000002</v>
      </c>
      <c r="X1185" s="22">
        <v>16.855422999999998</v>
      </c>
      <c r="Y1185" s="22">
        <v>395000</v>
      </c>
      <c r="Z1185" s="22">
        <v>-3.2864000000000001E-3</v>
      </c>
    </row>
    <row r="1186" spans="19:26" ht="16" x14ac:dyDescent="0.2">
      <c r="S1186" s="23">
        <v>43858</v>
      </c>
      <c r="T1186" s="22">
        <v>21.290000899999999</v>
      </c>
      <c r="U1186" s="22">
        <v>21.399999600000001</v>
      </c>
      <c r="V1186" s="22">
        <v>21.170000099999999</v>
      </c>
      <c r="W1186" s="22">
        <v>21.340000199999999</v>
      </c>
      <c r="X1186" s="22">
        <v>16.9427567</v>
      </c>
      <c r="Y1186" s="22">
        <v>508300</v>
      </c>
      <c r="Z1186" s="22">
        <v>5.1813400000000004E-3</v>
      </c>
    </row>
    <row r="1187" spans="19:26" ht="16" x14ac:dyDescent="0.2">
      <c r="S1187" s="23">
        <v>43859</v>
      </c>
      <c r="T1187" s="22">
        <v>21.3199997</v>
      </c>
      <c r="U1187" s="22">
        <v>21.530000699999999</v>
      </c>
      <c r="V1187" s="22">
        <v>21.2399998</v>
      </c>
      <c r="W1187" s="22">
        <v>21.450000800000002</v>
      </c>
      <c r="X1187" s="22">
        <v>17.030092199999999</v>
      </c>
      <c r="Y1187" s="22">
        <v>405200</v>
      </c>
      <c r="Z1187" s="22">
        <v>5.1547399999999997E-3</v>
      </c>
    </row>
    <row r="1188" spans="19:26" ht="16" x14ac:dyDescent="0.2">
      <c r="S1188" s="23">
        <v>43860</v>
      </c>
      <c r="T1188" s="22">
        <v>21.3099995</v>
      </c>
      <c r="U1188" s="22">
        <v>21.540000899999999</v>
      </c>
      <c r="V1188" s="22">
        <v>21.209999100000001</v>
      </c>
      <c r="W1188" s="22">
        <v>21.540000899999999</v>
      </c>
      <c r="X1188" s="22">
        <v>17.101547199999999</v>
      </c>
      <c r="Y1188" s="22">
        <v>331000</v>
      </c>
      <c r="Z1188" s="22">
        <v>4.1958100000000003E-3</v>
      </c>
    </row>
    <row r="1189" spans="19:26" ht="16" x14ac:dyDescent="0.2">
      <c r="S1189" s="23">
        <v>43861</v>
      </c>
      <c r="T1189" s="22">
        <v>21.670000099999999</v>
      </c>
      <c r="U1189" s="22">
        <v>21.670000099999999</v>
      </c>
      <c r="V1189" s="22">
        <v>21.159999800000001</v>
      </c>
      <c r="W1189" s="22">
        <v>21.170000099999999</v>
      </c>
      <c r="X1189" s="22">
        <v>16.807790799999999</v>
      </c>
      <c r="Y1189" s="22">
        <v>590700</v>
      </c>
      <c r="Z1189" s="22">
        <v>-1.71772E-2</v>
      </c>
    </row>
    <row r="1190" spans="19:26" ht="16" x14ac:dyDescent="0.2">
      <c r="S1190" s="23">
        <v>43864</v>
      </c>
      <c r="T1190" s="22">
        <v>21.200000800000002</v>
      </c>
      <c r="U1190" s="22">
        <v>21.590000199999999</v>
      </c>
      <c r="V1190" s="22">
        <v>21.1800003</v>
      </c>
      <c r="W1190" s="22">
        <v>21.520000499999998</v>
      </c>
      <c r="X1190" s="22">
        <v>17.085670499999999</v>
      </c>
      <c r="Y1190" s="22">
        <v>415200</v>
      </c>
      <c r="Z1190" s="22">
        <v>1.6532789999999999E-2</v>
      </c>
    </row>
    <row r="1191" spans="19:26" ht="16" x14ac:dyDescent="0.2">
      <c r="S1191" s="23">
        <v>43865</v>
      </c>
      <c r="T1191" s="22">
        <v>21.549999199999998</v>
      </c>
      <c r="U1191" s="22">
        <v>21.610000599999999</v>
      </c>
      <c r="V1191" s="22">
        <v>21.299999199999998</v>
      </c>
      <c r="W1191" s="22">
        <v>21.3099995</v>
      </c>
      <c r="X1191" s="22">
        <v>16.918939600000002</v>
      </c>
      <c r="Y1191" s="22">
        <v>418800</v>
      </c>
      <c r="Z1191" s="22">
        <v>-9.7584999999999998E-3</v>
      </c>
    </row>
    <row r="1192" spans="19:26" ht="16" x14ac:dyDescent="0.2">
      <c r="S1192" s="23">
        <v>43866</v>
      </c>
      <c r="T1192" s="22">
        <v>21.360000599999999</v>
      </c>
      <c r="U1192" s="22">
        <v>21.860000599999999</v>
      </c>
      <c r="V1192" s="22">
        <v>21.299999199999998</v>
      </c>
      <c r="W1192" s="22">
        <v>21.790000899999999</v>
      </c>
      <c r="X1192" s="22">
        <v>17.300031700000002</v>
      </c>
      <c r="Y1192" s="22">
        <v>568000</v>
      </c>
      <c r="Z1192" s="22">
        <v>2.2524579999999999E-2</v>
      </c>
    </row>
    <row r="1193" spans="19:26" ht="16" x14ac:dyDescent="0.2">
      <c r="S1193" s="23">
        <v>43867</v>
      </c>
      <c r="T1193" s="22">
        <v>21.959999100000001</v>
      </c>
      <c r="U1193" s="22">
        <v>21.969999300000001</v>
      </c>
      <c r="V1193" s="22">
        <v>21.600000399999999</v>
      </c>
      <c r="W1193" s="22">
        <v>21.6200008</v>
      </c>
      <c r="X1193" s="22">
        <v>17.165061999999999</v>
      </c>
      <c r="Y1193" s="22">
        <v>311600</v>
      </c>
      <c r="Z1193" s="22">
        <v>-7.8017E-3</v>
      </c>
    </row>
    <row r="1194" spans="19:26" ht="16" x14ac:dyDescent="0.2">
      <c r="S1194" s="23">
        <v>43868</v>
      </c>
      <c r="T1194" s="22">
        <v>21.590000199999999</v>
      </c>
      <c r="U1194" s="22">
        <v>21.75</v>
      </c>
      <c r="V1194" s="22">
        <v>21.5100002</v>
      </c>
      <c r="W1194" s="22">
        <v>21.5699997</v>
      </c>
      <c r="X1194" s="22">
        <v>17.125364300000001</v>
      </c>
      <c r="Y1194" s="22">
        <v>332500</v>
      </c>
      <c r="Z1194" s="22">
        <v>-2.3127E-3</v>
      </c>
    </row>
    <row r="1195" spans="19:26" ht="16" x14ac:dyDescent="0.2">
      <c r="S1195" s="23">
        <v>43871</v>
      </c>
      <c r="T1195" s="22">
        <v>21.5599995</v>
      </c>
      <c r="U1195" s="22">
        <v>21.590000199999999</v>
      </c>
      <c r="V1195" s="22">
        <v>21.3199997</v>
      </c>
      <c r="W1195" s="22">
        <v>21.3799992</v>
      </c>
      <c r="X1195" s="22">
        <v>16.974517800000001</v>
      </c>
      <c r="Y1195" s="22">
        <v>535200</v>
      </c>
      <c r="Z1195" s="22">
        <v>-8.8083999999999992E-3</v>
      </c>
    </row>
    <row r="1196" spans="19:26" ht="16" x14ac:dyDescent="0.2">
      <c r="S1196" s="23">
        <v>43872</v>
      </c>
      <c r="T1196" s="22">
        <v>21.4899998</v>
      </c>
      <c r="U1196" s="22">
        <v>21.899999600000001</v>
      </c>
      <c r="V1196" s="22">
        <v>21.469999300000001</v>
      </c>
      <c r="W1196" s="22">
        <v>21.770000499999998</v>
      </c>
      <c r="X1196" s="22">
        <v>17.284153</v>
      </c>
      <c r="Y1196" s="22">
        <v>1084700</v>
      </c>
      <c r="Z1196" s="22">
        <v>1.8241179999999999E-2</v>
      </c>
    </row>
    <row r="1197" spans="19:26" ht="16" x14ac:dyDescent="0.2">
      <c r="S1197" s="23">
        <v>43873</v>
      </c>
      <c r="T1197" s="22">
        <v>21.850000399999999</v>
      </c>
      <c r="U1197" s="22">
        <v>22.219999300000001</v>
      </c>
      <c r="V1197" s="22">
        <v>21.6299992</v>
      </c>
      <c r="W1197" s="22">
        <v>22</v>
      </c>
      <c r="X1197" s="22">
        <v>17.466760600000001</v>
      </c>
      <c r="Y1197" s="22">
        <v>733300</v>
      </c>
      <c r="Z1197" s="22">
        <v>1.056503E-2</v>
      </c>
    </row>
    <row r="1198" spans="19:26" ht="16" x14ac:dyDescent="0.2">
      <c r="S1198" s="23">
        <v>43874</v>
      </c>
      <c r="T1198" s="22">
        <v>22</v>
      </c>
      <c r="U1198" s="22">
        <v>22.159999800000001</v>
      </c>
      <c r="V1198" s="22">
        <v>21.889999400000001</v>
      </c>
      <c r="W1198" s="22">
        <v>21.9899998</v>
      </c>
      <c r="X1198" s="22">
        <v>17.458822300000001</v>
      </c>
      <c r="Y1198" s="22">
        <v>670900</v>
      </c>
      <c r="Z1198" s="22">
        <v>-4.5449999999999999E-4</v>
      </c>
    </row>
    <row r="1199" spans="19:26" ht="16" x14ac:dyDescent="0.2">
      <c r="S1199" s="23">
        <v>43875</v>
      </c>
      <c r="T1199" s="22">
        <v>22</v>
      </c>
      <c r="U1199" s="22">
        <v>22.1200008</v>
      </c>
      <c r="V1199" s="22">
        <v>21.850000399999999</v>
      </c>
      <c r="W1199" s="22">
        <v>22</v>
      </c>
      <c r="X1199" s="22">
        <v>17.466760600000001</v>
      </c>
      <c r="Y1199" s="22">
        <v>423100</v>
      </c>
      <c r="Z1199" s="22">
        <v>4.5469E-4</v>
      </c>
    </row>
    <row r="1200" spans="19:26" ht="16" x14ac:dyDescent="0.2">
      <c r="S1200" s="23">
        <v>43879</v>
      </c>
      <c r="T1200" s="22">
        <v>22.040000899999999</v>
      </c>
      <c r="U1200" s="22">
        <v>22.350000399999999</v>
      </c>
      <c r="V1200" s="22">
        <v>21.899999600000001</v>
      </c>
      <c r="W1200" s="22">
        <v>22.2600002</v>
      </c>
      <c r="X1200" s="22">
        <v>17.673183399999999</v>
      </c>
      <c r="Y1200" s="22">
        <v>612200</v>
      </c>
      <c r="Z1200" s="22">
        <v>1.181804E-2</v>
      </c>
    </row>
    <row r="1201" spans="19:26" ht="16" x14ac:dyDescent="0.2">
      <c r="S1201" s="23">
        <v>43880</v>
      </c>
      <c r="T1201" s="22">
        <v>22.469999300000001</v>
      </c>
      <c r="U1201" s="22">
        <v>23.209999100000001</v>
      </c>
      <c r="V1201" s="22">
        <v>22.270000499999998</v>
      </c>
      <c r="W1201" s="22">
        <v>23.110000599999999</v>
      </c>
      <c r="X1201" s="22">
        <v>18.348037699999999</v>
      </c>
      <c r="Y1201" s="22">
        <v>814700</v>
      </c>
      <c r="Z1201" s="22">
        <v>3.8185209999999997E-2</v>
      </c>
    </row>
    <row r="1202" spans="19:26" ht="16" x14ac:dyDescent="0.2">
      <c r="S1202" s="23">
        <v>43881</v>
      </c>
      <c r="T1202" s="22">
        <v>23.0699997</v>
      </c>
      <c r="U1202" s="22">
        <v>23.2399998</v>
      </c>
      <c r="V1202" s="22">
        <v>22.649999600000001</v>
      </c>
      <c r="W1202" s="22">
        <v>23</v>
      </c>
      <c r="X1202" s="22">
        <v>18.260704</v>
      </c>
      <c r="Y1202" s="22">
        <v>450900</v>
      </c>
      <c r="Z1202" s="22">
        <v>-4.7597999999999998E-3</v>
      </c>
    </row>
    <row r="1203" spans="19:26" ht="16" x14ac:dyDescent="0.2">
      <c r="S1203" s="23">
        <v>43882</v>
      </c>
      <c r="T1203" s="22">
        <v>23.0100002</v>
      </c>
      <c r="U1203" s="22">
        <v>23.079999900000001</v>
      </c>
      <c r="V1203" s="22">
        <v>22.659999800000001</v>
      </c>
      <c r="W1203" s="22">
        <v>22.8700008</v>
      </c>
      <c r="X1203" s="22">
        <v>18.157491700000001</v>
      </c>
      <c r="Y1203" s="22">
        <v>475800</v>
      </c>
      <c r="Z1203" s="22">
        <v>-5.6521999999999996E-3</v>
      </c>
    </row>
    <row r="1204" spans="19:26" ht="16" x14ac:dyDescent="0.2">
      <c r="S1204" s="23">
        <v>43885</v>
      </c>
      <c r="T1204" s="22">
        <v>22.5599995</v>
      </c>
      <c r="U1204" s="22">
        <v>22.590000199999999</v>
      </c>
      <c r="V1204" s="22">
        <v>22.090000199999999</v>
      </c>
      <c r="W1204" s="22">
        <v>22.4300003</v>
      </c>
      <c r="X1204" s="22">
        <v>17.8081551</v>
      </c>
      <c r="Y1204" s="22">
        <v>510100</v>
      </c>
      <c r="Z1204" s="22">
        <v>-1.9239300000000001E-2</v>
      </c>
    </row>
    <row r="1205" spans="19:26" ht="16" x14ac:dyDescent="0.2">
      <c r="S1205" s="23">
        <v>43886</v>
      </c>
      <c r="T1205" s="22">
        <v>22.459999100000001</v>
      </c>
      <c r="U1205" s="22">
        <v>22.530000699999999</v>
      </c>
      <c r="V1205" s="22">
        <v>21.420000099999999</v>
      </c>
      <c r="W1205" s="22">
        <v>21.530000699999999</v>
      </c>
      <c r="X1205" s="22">
        <v>17.0936089</v>
      </c>
      <c r="Y1205" s="22">
        <v>839800</v>
      </c>
      <c r="Z1205" s="22">
        <v>-4.0124699999999999E-2</v>
      </c>
    </row>
    <row r="1206" spans="19:26" ht="16" x14ac:dyDescent="0.2">
      <c r="S1206" s="23">
        <v>43887</v>
      </c>
      <c r="T1206" s="22">
        <v>21.5100002</v>
      </c>
      <c r="U1206" s="22">
        <v>21.850000399999999</v>
      </c>
      <c r="V1206" s="22">
        <v>21.2600002</v>
      </c>
      <c r="W1206" s="22">
        <v>21.350000399999999</v>
      </c>
      <c r="X1206" s="22">
        <v>16.950696900000001</v>
      </c>
      <c r="Y1206" s="22">
        <v>537100</v>
      </c>
      <c r="Z1206" s="22">
        <v>-8.3604999999999999E-3</v>
      </c>
    </row>
    <row r="1207" spans="19:26" ht="16" x14ac:dyDescent="0.2">
      <c r="S1207" s="23">
        <v>43888</v>
      </c>
      <c r="T1207" s="22">
        <v>20.5</v>
      </c>
      <c r="U1207" s="22">
        <v>22.100000399999999</v>
      </c>
      <c r="V1207" s="22">
        <v>19.2600002</v>
      </c>
      <c r="W1207" s="22">
        <v>21.25</v>
      </c>
      <c r="X1207" s="22">
        <v>16.871303600000001</v>
      </c>
      <c r="Y1207" s="22">
        <v>1735600</v>
      </c>
      <c r="Z1207" s="22">
        <v>-4.6838000000000001E-3</v>
      </c>
    </row>
    <row r="1208" spans="19:26" ht="16" x14ac:dyDescent="0.2">
      <c r="S1208" s="23">
        <v>43889</v>
      </c>
      <c r="T1208" s="22">
        <v>20.360000599999999</v>
      </c>
      <c r="U1208" s="22">
        <v>21.0699997</v>
      </c>
      <c r="V1208" s="22">
        <v>20.049999199999998</v>
      </c>
      <c r="W1208" s="22">
        <v>21.040000899999999</v>
      </c>
      <c r="X1208" s="22">
        <v>16.871303600000001</v>
      </c>
      <c r="Y1208" s="22">
        <v>1552200</v>
      </c>
      <c r="Z1208" s="22">
        <v>0</v>
      </c>
    </row>
    <row r="1209" spans="19:26" ht="16" x14ac:dyDescent="0.2">
      <c r="S1209" s="23">
        <v>43892</v>
      </c>
      <c r="T1209" s="22">
        <v>21</v>
      </c>
      <c r="U1209" s="22">
        <v>21.639999400000001</v>
      </c>
      <c r="V1209" s="22">
        <v>20.579999900000001</v>
      </c>
      <c r="W1209" s="22">
        <v>21.590000199999999</v>
      </c>
      <c r="X1209" s="22">
        <v>17.312328300000001</v>
      </c>
      <c r="Y1209" s="22">
        <v>809300</v>
      </c>
      <c r="Z1209" s="22">
        <v>2.6140529999999999E-2</v>
      </c>
    </row>
    <row r="1210" spans="19:26" ht="16" x14ac:dyDescent="0.2">
      <c r="S1210" s="23">
        <v>43893</v>
      </c>
      <c r="T1210" s="22">
        <v>21.600000399999999</v>
      </c>
      <c r="U1210" s="22">
        <v>21.899999600000001</v>
      </c>
      <c r="V1210" s="22">
        <v>20.799999199999998</v>
      </c>
      <c r="W1210" s="22">
        <v>21.090000199999999</v>
      </c>
      <c r="X1210" s="22">
        <v>16.911394099999999</v>
      </c>
      <c r="Y1210" s="22">
        <v>650100</v>
      </c>
      <c r="Z1210" s="22">
        <v>-2.31589E-2</v>
      </c>
    </row>
    <row r="1211" spans="19:26" ht="16" x14ac:dyDescent="0.2">
      <c r="S1211" s="23">
        <v>43894</v>
      </c>
      <c r="T1211" s="22">
        <v>21.340000199999999</v>
      </c>
      <c r="U1211" s="22">
        <v>21.899999600000001</v>
      </c>
      <c r="V1211" s="22">
        <v>21.200000800000002</v>
      </c>
      <c r="W1211" s="22">
        <v>21.8099995</v>
      </c>
      <c r="X1211" s="22">
        <v>17.488738999999999</v>
      </c>
      <c r="Y1211" s="22">
        <v>496600</v>
      </c>
      <c r="Z1211" s="22">
        <v>3.41394E-2</v>
      </c>
    </row>
    <row r="1212" spans="19:26" ht="16" x14ac:dyDescent="0.2">
      <c r="S1212" s="23">
        <v>43895</v>
      </c>
      <c r="T1212" s="22">
        <v>21.409999800000001</v>
      </c>
      <c r="U1212" s="22">
        <v>22.040000899999999</v>
      </c>
      <c r="V1212" s="22">
        <v>21.329999900000001</v>
      </c>
      <c r="W1212" s="22">
        <v>21.590000199999999</v>
      </c>
      <c r="X1212" s="22">
        <v>17.312328300000001</v>
      </c>
      <c r="Y1212" s="22">
        <v>858000</v>
      </c>
      <c r="Z1212" s="22">
        <v>-1.00871E-2</v>
      </c>
    </row>
    <row r="1213" spans="19:26" ht="16" x14ac:dyDescent="0.2">
      <c r="S1213" s="23">
        <v>43896</v>
      </c>
      <c r="T1213" s="22">
        <v>21.290000899999999</v>
      </c>
      <c r="U1213" s="22">
        <v>22.079999900000001</v>
      </c>
      <c r="V1213" s="22">
        <v>20.829999900000001</v>
      </c>
      <c r="W1213" s="22">
        <v>22.049999199999998</v>
      </c>
      <c r="X1213" s="22">
        <v>17.6811905</v>
      </c>
      <c r="Y1213" s="22">
        <v>1452800</v>
      </c>
      <c r="Z1213" s="22">
        <v>2.1306329999999998E-2</v>
      </c>
    </row>
    <row r="1214" spans="19:26" ht="16" x14ac:dyDescent="0.2">
      <c r="S1214" s="23">
        <v>43899</v>
      </c>
      <c r="T1214" s="22">
        <v>21.110000599999999</v>
      </c>
      <c r="U1214" s="22">
        <v>21.8700008</v>
      </c>
      <c r="V1214" s="22">
        <v>20.670000099999999</v>
      </c>
      <c r="W1214" s="22">
        <v>21.479999500000002</v>
      </c>
      <c r="X1214" s="22">
        <v>17.2241249</v>
      </c>
      <c r="Y1214" s="22">
        <v>1787400</v>
      </c>
      <c r="Z1214" s="22">
        <v>-2.5850399999999999E-2</v>
      </c>
    </row>
    <row r="1215" spans="19:26" ht="16" x14ac:dyDescent="0.2">
      <c r="S1215" s="23">
        <v>43900</v>
      </c>
      <c r="T1215" s="22">
        <v>21.920000099999999</v>
      </c>
      <c r="U1215" s="22">
        <v>22.780000699999999</v>
      </c>
      <c r="V1215" s="22">
        <v>20.829999900000001</v>
      </c>
      <c r="W1215" s="22">
        <v>21.979999500000002</v>
      </c>
      <c r="X1215" s="22">
        <v>17.625059100000001</v>
      </c>
      <c r="Y1215" s="22">
        <v>1926300</v>
      </c>
      <c r="Z1215" s="22">
        <v>2.327748E-2</v>
      </c>
    </row>
    <row r="1216" spans="19:26" ht="16" x14ac:dyDescent="0.2">
      <c r="S1216" s="23">
        <v>43901</v>
      </c>
      <c r="T1216" s="22">
        <v>21.4300003</v>
      </c>
      <c r="U1216" s="22">
        <v>22.0100002</v>
      </c>
      <c r="V1216" s="22">
        <v>21.090000199999999</v>
      </c>
      <c r="W1216" s="22">
        <v>21.340000199999999</v>
      </c>
      <c r="X1216" s="22">
        <v>17.1118603</v>
      </c>
      <c r="Y1216" s="22">
        <v>1393400</v>
      </c>
      <c r="Z1216" s="22">
        <v>-2.91176E-2</v>
      </c>
    </row>
    <row r="1217" spans="19:26" ht="16" x14ac:dyDescent="0.2">
      <c r="S1217" s="23">
        <v>43902</v>
      </c>
      <c r="T1217" s="22">
        <v>20.329999900000001</v>
      </c>
      <c r="U1217" s="22">
        <v>20.329999900000001</v>
      </c>
      <c r="V1217" s="22">
        <v>17.540000899999999</v>
      </c>
      <c r="W1217" s="22">
        <v>18.909999800000001</v>
      </c>
      <c r="X1217" s="22">
        <v>15.163323399999999</v>
      </c>
      <c r="Y1217" s="22">
        <v>1865000</v>
      </c>
      <c r="Z1217" s="22">
        <v>-0.1138705</v>
      </c>
    </row>
    <row r="1218" spans="19:26" ht="16" x14ac:dyDescent="0.2">
      <c r="S1218" s="23">
        <v>43903</v>
      </c>
      <c r="T1218" s="22">
        <v>19.6900005</v>
      </c>
      <c r="U1218" s="22">
        <v>20.040000899999999</v>
      </c>
      <c r="V1218" s="22">
        <v>18.2399998</v>
      </c>
      <c r="W1218" s="22">
        <v>20.040000899999999</v>
      </c>
      <c r="X1218" s="22">
        <v>16.0694351</v>
      </c>
      <c r="Y1218" s="22">
        <v>1353500</v>
      </c>
      <c r="Z1218" s="22">
        <v>5.9756799999999999E-2</v>
      </c>
    </row>
    <row r="1219" spans="19:26" ht="16" x14ac:dyDescent="0.2">
      <c r="S1219" s="23">
        <v>43906</v>
      </c>
      <c r="T1219" s="22">
        <v>17.840000199999999</v>
      </c>
      <c r="U1219" s="22">
        <v>18</v>
      </c>
      <c r="V1219" s="22">
        <v>16.1200008</v>
      </c>
      <c r="W1219" s="22">
        <v>16.610000599999999</v>
      </c>
      <c r="X1219" s="22">
        <v>13.3190279</v>
      </c>
      <c r="Y1219" s="22">
        <v>1221600</v>
      </c>
      <c r="Z1219" s="22">
        <v>-0.1711577</v>
      </c>
    </row>
    <row r="1220" spans="19:26" ht="16" x14ac:dyDescent="0.2">
      <c r="S1220" s="23">
        <v>43907</v>
      </c>
      <c r="T1220" s="22">
        <v>17.030000699999999</v>
      </c>
      <c r="U1220" s="22">
        <v>19.549999199999998</v>
      </c>
      <c r="V1220" s="22">
        <v>16.6900005</v>
      </c>
      <c r="W1220" s="22">
        <v>19.280000699999999</v>
      </c>
      <c r="X1220" s="22">
        <v>15.4600182</v>
      </c>
      <c r="Y1220" s="22">
        <v>1446900</v>
      </c>
      <c r="Z1220" s="22">
        <v>0.16074674</v>
      </c>
    </row>
    <row r="1221" spans="19:26" ht="16" x14ac:dyDescent="0.2">
      <c r="S1221" s="23">
        <v>43908</v>
      </c>
      <c r="T1221" s="22">
        <v>18.3099995</v>
      </c>
      <c r="U1221" s="22">
        <v>18.780000699999999</v>
      </c>
      <c r="V1221" s="22">
        <v>16.549999199999998</v>
      </c>
      <c r="W1221" s="22">
        <v>17.3799992</v>
      </c>
      <c r="X1221" s="22">
        <v>13.9364653</v>
      </c>
      <c r="Y1221" s="22">
        <v>1098800</v>
      </c>
      <c r="Z1221" s="22">
        <v>-9.8547899999999994E-2</v>
      </c>
    </row>
    <row r="1222" spans="19:26" ht="16" x14ac:dyDescent="0.2">
      <c r="S1222" s="23">
        <v>43909</v>
      </c>
      <c r="T1222" s="22">
        <v>17.530000699999999</v>
      </c>
      <c r="U1222" s="22">
        <v>19.1200008</v>
      </c>
      <c r="V1222" s="22">
        <v>16.5599995</v>
      </c>
      <c r="W1222" s="22">
        <v>18.409999800000001</v>
      </c>
      <c r="X1222" s="22">
        <v>14.762392</v>
      </c>
      <c r="Y1222" s="22">
        <v>990500</v>
      </c>
      <c r="Z1222" s="22">
        <v>5.9263719999999999E-2</v>
      </c>
    </row>
    <row r="1223" spans="19:26" ht="16" x14ac:dyDescent="0.2">
      <c r="S1223" s="23">
        <v>43910</v>
      </c>
      <c r="T1223" s="22">
        <v>18.530000699999999</v>
      </c>
      <c r="U1223" s="22">
        <v>20.979999500000002</v>
      </c>
      <c r="V1223" s="22">
        <v>18.1299992</v>
      </c>
      <c r="W1223" s="22">
        <v>19.6299992</v>
      </c>
      <c r="X1223" s="22">
        <v>15.740668299999999</v>
      </c>
      <c r="Y1223" s="22">
        <v>1931400</v>
      </c>
      <c r="Z1223" s="22">
        <v>6.6268140000000003E-2</v>
      </c>
    </row>
    <row r="1224" spans="19:26" ht="16" x14ac:dyDescent="0.2">
      <c r="S1224" s="23">
        <v>43913</v>
      </c>
      <c r="T1224" s="22">
        <v>19.420000099999999</v>
      </c>
      <c r="U1224" s="22">
        <v>19.6299992</v>
      </c>
      <c r="V1224" s="22">
        <v>17.219999300000001</v>
      </c>
      <c r="W1224" s="22">
        <v>18.409999800000001</v>
      </c>
      <c r="X1224" s="22">
        <v>14.762392</v>
      </c>
      <c r="Y1224" s="22">
        <v>1088800</v>
      </c>
      <c r="Z1224" s="22">
        <v>-6.2149599999999999E-2</v>
      </c>
    </row>
    <row r="1225" spans="19:26" ht="16" x14ac:dyDescent="0.2">
      <c r="S1225" s="23">
        <v>43914</v>
      </c>
      <c r="T1225" s="22">
        <v>19.1800003</v>
      </c>
      <c r="U1225" s="22">
        <v>19.860000599999999</v>
      </c>
      <c r="V1225" s="22">
        <v>18.389999400000001</v>
      </c>
      <c r="W1225" s="22">
        <v>18.889999400000001</v>
      </c>
      <c r="X1225" s="22">
        <v>15.1472845</v>
      </c>
      <c r="Y1225" s="22">
        <v>956500</v>
      </c>
      <c r="Z1225" s="22">
        <v>2.6072499999999998E-2</v>
      </c>
    </row>
    <row r="1226" spans="19:26" ht="16" x14ac:dyDescent="0.2">
      <c r="S1226" s="23">
        <v>43915</v>
      </c>
      <c r="T1226" s="22">
        <v>18.8700008</v>
      </c>
      <c r="U1226" s="22">
        <v>19.280000699999999</v>
      </c>
      <c r="V1226" s="22">
        <v>18.040000899999999</v>
      </c>
      <c r="W1226" s="22">
        <v>18.4899998</v>
      </c>
      <c r="X1226" s="22">
        <v>14.82654</v>
      </c>
      <c r="Y1226" s="22">
        <v>869600</v>
      </c>
      <c r="Z1226" s="22">
        <v>-2.1175099999999999E-2</v>
      </c>
    </row>
    <row r="1227" spans="19:26" ht="16" x14ac:dyDescent="0.2">
      <c r="S1227" s="23">
        <v>43916</v>
      </c>
      <c r="T1227" s="22">
        <v>18.7600002</v>
      </c>
      <c r="U1227" s="22">
        <v>20.340000199999999</v>
      </c>
      <c r="V1227" s="22">
        <v>18.530000699999999</v>
      </c>
      <c r="W1227" s="22">
        <v>20.229999500000002</v>
      </c>
      <c r="X1227" s="22">
        <v>16.221790299999999</v>
      </c>
      <c r="Y1227" s="22">
        <v>942300</v>
      </c>
      <c r="Z1227" s="22">
        <v>9.4104919999999995E-2</v>
      </c>
    </row>
    <row r="1228" spans="19:26" ht="16" x14ac:dyDescent="0.2">
      <c r="S1228" s="23">
        <v>43917</v>
      </c>
      <c r="T1228" s="22">
        <v>19.469999300000001</v>
      </c>
      <c r="U1228" s="22">
        <v>19.9899998</v>
      </c>
      <c r="V1228" s="22">
        <v>18.290000899999999</v>
      </c>
      <c r="W1228" s="22">
        <v>18.8199997</v>
      </c>
      <c r="X1228" s="22">
        <v>15.0911551</v>
      </c>
      <c r="Y1228" s="22">
        <v>679500</v>
      </c>
      <c r="Z1228" s="22">
        <v>-6.9698499999999997E-2</v>
      </c>
    </row>
    <row r="1229" spans="19:26" ht="16" x14ac:dyDescent="0.2">
      <c r="S1229" s="23">
        <v>43920</v>
      </c>
      <c r="T1229" s="22">
        <v>18.770000499999998</v>
      </c>
      <c r="U1229" s="22">
        <v>19.549999199999998</v>
      </c>
      <c r="V1229" s="22">
        <v>18.5</v>
      </c>
      <c r="W1229" s="22">
        <v>19.030000699999999</v>
      </c>
      <c r="X1229" s="22">
        <v>15.259549099999999</v>
      </c>
      <c r="Y1229" s="22">
        <v>618500</v>
      </c>
      <c r="Z1229" s="22">
        <v>1.115846E-2</v>
      </c>
    </row>
    <row r="1230" spans="19:26" ht="16" x14ac:dyDescent="0.2">
      <c r="S1230" s="23">
        <v>43921</v>
      </c>
      <c r="T1230" s="22">
        <v>18.7600002</v>
      </c>
      <c r="U1230" s="22">
        <v>19.2399998</v>
      </c>
      <c r="V1230" s="22">
        <v>18.479999500000002</v>
      </c>
      <c r="W1230" s="22">
        <v>18.799999199999998</v>
      </c>
      <c r="X1230" s="22">
        <v>15.0751209</v>
      </c>
      <c r="Y1230" s="22">
        <v>899500</v>
      </c>
      <c r="Z1230" s="22">
        <v>-1.2086100000000001E-2</v>
      </c>
    </row>
    <row r="1231" spans="19:26" ht="16" x14ac:dyDescent="0.2">
      <c r="S1231" s="23">
        <v>43922</v>
      </c>
      <c r="T1231" s="22">
        <v>18</v>
      </c>
      <c r="U1231" s="22">
        <v>18.219999300000001</v>
      </c>
      <c r="V1231" s="22">
        <v>17.479999500000002</v>
      </c>
      <c r="W1231" s="22">
        <v>17.899999600000001</v>
      </c>
      <c r="X1231" s="22">
        <v>14.353436500000001</v>
      </c>
      <c r="Y1231" s="22">
        <v>790600</v>
      </c>
      <c r="Z1231" s="22">
        <v>-4.7872499999999998E-2</v>
      </c>
    </row>
    <row r="1232" spans="19:26" ht="16" x14ac:dyDescent="0.2">
      <c r="S1232" s="23">
        <v>43923</v>
      </c>
      <c r="T1232" s="22">
        <v>17.950000800000002</v>
      </c>
      <c r="U1232" s="22">
        <v>18.579999900000001</v>
      </c>
      <c r="V1232" s="22">
        <v>17.110000599999999</v>
      </c>
      <c r="W1232" s="22">
        <v>17.790000899999999</v>
      </c>
      <c r="X1232" s="22">
        <v>14.265231099999999</v>
      </c>
      <c r="Y1232" s="22">
        <v>1474500</v>
      </c>
      <c r="Z1232" s="22">
        <v>-6.1452E-3</v>
      </c>
    </row>
    <row r="1233" spans="19:26" ht="16" x14ac:dyDescent="0.2">
      <c r="S1233" s="23">
        <v>43924</v>
      </c>
      <c r="T1233" s="22">
        <v>17.5599995</v>
      </c>
      <c r="U1233" s="22">
        <v>18.5</v>
      </c>
      <c r="V1233" s="22">
        <v>17.5599995</v>
      </c>
      <c r="W1233" s="22">
        <v>18.3700008</v>
      </c>
      <c r="X1233" s="22">
        <v>14.730317100000001</v>
      </c>
      <c r="Y1233" s="22">
        <v>919600</v>
      </c>
      <c r="Z1233" s="22">
        <v>3.2602770000000003E-2</v>
      </c>
    </row>
    <row r="1234" spans="19:26" ht="16" x14ac:dyDescent="0.2">
      <c r="S1234" s="23">
        <v>43927</v>
      </c>
      <c r="T1234" s="22">
        <v>18.969999300000001</v>
      </c>
      <c r="U1234" s="22">
        <v>19.530000699999999</v>
      </c>
      <c r="V1234" s="22">
        <v>18.850000399999999</v>
      </c>
      <c r="W1234" s="22">
        <v>19.350000399999999</v>
      </c>
      <c r="X1234" s="22">
        <v>15.5161467</v>
      </c>
      <c r="Y1234" s="22">
        <v>740500</v>
      </c>
      <c r="Z1234" s="22">
        <v>5.3347770000000003E-2</v>
      </c>
    </row>
    <row r="1235" spans="19:26" ht="16" x14ac:dyDescent="0.2">
      <c r="S1235" s="23">
        <v>43928</v>
      </c>
      <c r="T1235" s="22">
        <v>19.799999199999998</v>
      </c>
      <c r="U1235" s="22">
        <v>19.889999400000001</v>
      </c>
      <c r="V1235" s="22">
        <v>18.909999800000001</v>
      </c>
      <c r="W1235" s="22">
        <v>19.040000899999999</v>
      </c>
      <c r="X1235" s="22">
        <v>15.2675638</v>
      </c>
      <c r="Y1235" s="22">
        <v>941300</v>
      </c>
      <c r="Z1235" s="22">
        <v>-1.6020900000000001E-2</v>
      </c>
    </row>
    <row r="1236" spans="19:26" ht="16" x14ac:dyDescent="0.2">
      <c r="S1236" s="23">
        <v>43929</v>
      </c>
      <c r="T1236" s="22">
        <v>19.159999800000001</v>
      </c>
      <c r="U1236" s="22">
        <v>19.5</v>
      </c>
      <c r="V1236" s="22">
        <v>18.889999400000001</v>
      </c>
      <c r="W1236" s="22">
        <v>19.2399998</v>
      </c>
      <c r="X1236" s="22">
        <v>15.427940400000001</v>
      </c>
      <c r="Y1236" s="22">
        <v>645600</v>
      </c>
      <c r="Z1236" s="22">
        <v>1.0504400000000001E-2</v>
      </c>
    </row>
    <row r="1237" spans="19:26" ht="16" x14ac:dyDescent="0.2">
      <c r="S1237" s="23">
        <v>43930</v>
      </c>
      <c r="T1237" s="22">
        <v>19.579999900000001</v>
      </c>
      <c r="U1237" s="22">
        <v>20.5</v>
      </c>
      <c r="V1237" s="22">
        <v>19.409999800000001</v>
      </c>
      <c r="W1237" s="22">
        <v>20.030000699999999</v>
      </c>
      <c r="X1237" s="22">
        <v>16.061412799999999</v>
      </c>
      <c r="Y1237" s="22">
        <v>1060200</v>
      </c>
      <c r="Z1237" s="22">
        <v>4.1060079999999999E-2</v>
      </c>
    </row>
    <row r="1238" spans="19:26" ht="16" x14ac:dyDescent="0.2">
      <c r="S1238" s="23">
        <v>43934</v>
      </c>
      <c r="T1238" s="22">
        <v>19.719999300000001</v>
      </c>
      <c r="U1238" s="22">
        <v>19.9899998</v>
      </c>
      <c r="V1238" s="22">
        <v>19.139999400000001</v>
      </c>
      <c r="W1238" s="22">
        <v>19.6200008</v>
      </c>
      <c r="X1238" s="22">
        <v>15.732649800000001</v>
      </c>
      <c r="Y1238" s="22">
        <v>480500</v>
      </c>
      <c r="Z1238" s="22">
        <v>-2.04691E-2</v>
      </c>
    </row>
    <row r="1239" spans="19:26" ht="16" x14ac:dyDescent="0.2">
      <c r="S1239" s="23">
        <v>43935</v>
      </c>
      <c r="T1239" s="22">
        <v>20.030000699999999</v>
      </c>
      <c r="U1239" s="22">
        <v>20.329999900000001</v>
      </c>
      <c r="V1239" s="22">
        <v>19.6900005</v>
      </c>
      <c r="W1239" s="22">
        <v>19.959999100000001</v>
      </c>
      <c r="X1239" s="22">
        <v>16.005285300000001</v>
      </c>
      <c r="Y1239" s="22">
        <v>410900</v>
      </c>
      <c r="Z1239" s="22">
        <v>1.7329279999999999E-2</v>
      </c>
    </row>
    <row r="1240" spans="19:26" ht="16" x14ac:dyDescent="0.2">
      <c r="S1240" s="23">
        <v>43936</v>
      </c>
      <c r="T1240" s="22">
        <v>19.389999400000001</v>
      </c>
      <c r="U1240" s="22">
        <v>19.469999300000001</v>
      </c>
      <c r="V1240" s="22">
        <v>18.639999400000001</v>
      </c>
      <c r="W1240" s="22">
        <v>19</v>
      </c>
      <c r="X1240" s="22">
        <v>15.2354918</v>
      </c>
      <c r="Y1240" s="22">
        <v>1418300</v>
      </c>
      <c r="Z1240" s="22">
        <v>-4.8096199999999999E-2</v>
      </c>
    </row>
    <row r="1241" spans="19:26" ht="16" x14ac:dyDescent="0.2">
      <c r="S1241" s="23">
        <v>43937</v>
      </c>
      <c r="T1241" s="22">
        <v>19.049999199999998</v>
      </c>
      <c r="U1241" s="22">
        <v>19.2399998</v>
      </c>
      <c r="V1241" s="22">
        <v>18.600000399999999</v>
      </c>
      <c r="W1241" s="22">
        <v>19.100000399999999</v>
      </c>
      <c r="X1241" s="22">
        <v>15.315677600000001</v>
      </c>
      <c r="Y1241" s="22">
        <v>597900</v>
      </c>
      <c r="Z1241" s="22">
        <v>5.2630999999999997E-3</v>
      </c>
    </row>
    <row r="1242" spans="19:26" ht="16" x14ac:dyDescent="0.2">
      <c r="S1242" s="23">
        <v>43938</v>
      </c>
      <c r="T1242" s="22">
        <v>19.530000699999999</v>
      </c>
      <c r="U1242" s="22">
        <v>19.770000499999998</v>
      </c>
      <c r="V1242" s="22">
        <v>19.0699997</v>
      </c>
      <c r="W1242" s="22">
        <v>19.6800003</v>
      </c>
      <c r="X1242" s="22">
        <v>15.7807627</v>
      </c>
      <c r="Y1242" s="22">
        <v>476300</v>
      </c>
      <c r="Z1242" s="22">
        <v>3.0366600000000001E-2</v>
      </c>
    </row>
    <row r="1243" spans="19:26" ht="16" x14ac:dyDescent="0.2">
      <c r="S1243" s="23">
        <v>43941</v>
      </c>
      <c r="T1243" s="22">
        <v>19.389999400000001</v>
      </c>
      <c r="U1243" s="22">
        <v>19.530000699999999</v>
      </c>
      <c r="V1243" s="22">
        <v>19.040000899999999</v>
      </c>
      <c r="W1243" s="22">
        <v>19.159999800000001</v>
      </c>
      <c r="X1243" s="22">
        <v>15.3637896</v>
      </c>
      <c r="Y1243" s="22">
        <v>452400</v>
      </c>
      <c r="Z1243" s="22">
        <v>-2.6422899999999999E-2</v>
      </c>
    </row>
    <row r="1244" spans="19:26" ht="16" x14ac:dyDescent="0.2">
      <c r="S1244" s="23">
        <v>43942</v>
      </c>
      <c r="T1244" s="22">
        <v>18.829999900000001</v>
      </c>
      <c r="U1244" s="22">
        <v>19.399999600000001</v>
      </c>
      <c r="V1244" s="22">
        <v>18.729999500000002</v>
      </c>
      <c r="W1244" s="22">
        <v>19.149999600000001</v>
      </c>
      <c r="X1244" s="22">
        <v>15.355773900000001</v>
      </c>
      <c r="Y1244" s="22">
        <v>784100</v>
      </c>
      <c r="Z1244" s="22">
        <v>-5.2170000000000005E-4</v>
      </c>
    </row>
    <row r="1245" spans="19:26" ht="16" x14ac:dyDescent="0.2">
      <c r="S1245" s="23">
        <v>43943</v>
      </c>
      <c r="T1245" s="22">
        <v>19.649999600000001</v>
      </c>
      <c r="U1245" s="22">
        <v>20.100000399999999</v>
      </c>
      <c r="V1245" s="22">
        <v>19.100000399999999</v>
      </c>
      <c r="W1245" s="22">
        <v>19.75</v>
      </c>
      <c r="X1245" s="22">
        <v>15.8368959</v>
      </c>
      <c r="Y1245" s="22">
        <v>682900</v>
      </c>
      <c r="Z1245" s="22">
        <v>3.1331669999999999E-2</v>
      </c>
    </row>
    <row r="1246" spans="19:26" ht="16" x14ac:dyDescent="0.2">
      <c r="S1246" s="23">
        <v>43944</v>
      </c>
      <c r="T1246" s="22">
        <v>19.5599995</v>
      </c>
      <c r="U1246" s="22">
        <v>20.360000599999999</v>
      </c>
      <c r="V1246" s="22">
        <v>19.5599995</v>
      </c>
      <c r="W1246" s="22">
        <v>20.100000399999999</v>
      </c>
      <c r="X1246" s="22">
        <v>16.1175423</v>
      </c>
      <c r="Y1246" s="22">
        <v>837600</v>
      </c>
      <c r="Z1246" s="22">
        <v>1.772104E-2</v>
      </c>
    </row>
    <row r="1247" spans="19:26" ht="16" x14ac:dyDescent="0.2">
      <c r="S1247" s="23">
        <v>43945</v>
      </c>
      <c r="T1247" s="22">
        <v>20.1900005</v>
      </c>
      <c r="U1247" s="22">
        <v>20.399999600000001</v>
      </c>
      <c r="V1247" s="22">
        <v>19.799999199999998</v>
      </c>
      <c r="W1247" s="22">
        <v>20.170000099999999</v>
      </c>
      <c r="X1247" s="22">
        <v>16.173679400000001</v>
      </c>
      <c r="Y1247" s="22">
        <v>513400</v>
      </c>
      <c r="Z1247" s="22">
        <v>3.4829800000000001E-3</v>
      </c>
    </row>
    <row r="1248" spans="19:26" ht="16" x14ac:dyDescent="0.2">
      <c r="S1248" s="23">
        <v>43948</v>
      </c>
      <c r="T1248" s="22">
        <v>20.389999400000001</v>
      </c>
      <c r="U1248" s="22">
        <v>20.549999199999998</v>
      </c>
      <c r="V1248" s="22">
        <v>20.229999500000002</v>
      </c>
      <c r="W1248" s="22">
        <v>20.299999199999998</v>
      </c>
      <c r="X1248" s="22">
        <v>16.277925499999998</v>
      </c>
      <c r="Y1248" s="22">
        <v>635300</v>
      </c>
      <c r="Z1248" s="22">
        <v>6.4454200000000003E-3</v>
      </c>
    </row>
    <row r="1249" spans="19:26" ht="16" x14ac:dyDescent="0.2">
      <c r="S1249" s="23">
        <v>43949</v>
      </c>
      <c r="T1249" s="22">
        <v>20.5</v>
      </c>
      <c r="U1249" s="22">
        <v>21.219999300000001</v>
      </c>
      <c r="V1249" s="22">
        <v>20.5</v>
      </c>
      <c r="W1249" s="22">
        <v>20.780000699999999</v>
      </c>
      <c r="X1249" s="22">
        <v>16.662818900000001</v>
      </c>
      <c r="Y1249" s="22">
        <v>526500</v>
      </c>
      <c r="Z1249" s="22">
        <v>2.364511E-2</v>
      </c>
    </row>
    <row r="1250" spans="19:26" ht="16" x14ac:dyDescent="0.2">
      <c r="S1250" s="23">
        <v>43950</v>
      </c>
      <c r="T1250" s="22">
        <v>21</v>
      </c>
      <c r="U1250" s="22">
        <v>21.209999100000001</v>
      </c>
      <c r="V1250" s="22">
        <v>20</v>
      </c>
      <c r="W1250" s="22">
        <v>20.3799992</v>
      </c>
      <c r="X1250" s="22">
        <v>16.3420658</v>
      </c>
      <c r="Y1250" s="22">
        <v>876300</v>
      </c>
      <c r="Z1250" s="22">
        <v>-1.9249599999999999E-2</v>
      </c>
    </row>
    <row r="1251" spans="19:26" ht="16" x14ac:dyDescent="0.2">
      <c r="S1251" s="23">
        <v>43951</v>
      </c>
      <c r="T1251" s="22">
        <v>20.3099995</v>
      </c>
      <c r="U1251" s="22">
        <v>20.3099995</v>
      </c>
      <c r="V1251" s="22">
        <v>19.649999600000001</v>
      </c>
      <c r="W1251" s="22">
        <v>20.030000699999999</v>
      </c>
      <c r="X1251" s="22">
        <v>16.061412799999999</v>
      </c>
      <c r="Y1251" s="22">
        <v>791000</v>
      </c>
      <c r="Z1251" s="22">
        <v>-1.71737E-2</v>
      </c>
    </row>
    <row r="1252" spans="19:26" ht="16" x14ac:dyDescent="0.2">
      <c r="S1252" s="23">
        <v>43952</v>
      </c>
      <c r="T1252" s="22">
        <v>19.729999500000002</v>
      </c>
      <c r="U1252" s="22">
        <v>19.840000199999999</v>
      </c>
      <c r="V1252" s="22">
        <v>19.2600002</v>
      </c>
      <c r="W1252" s="22">
        <v>19.5</v>
      </c>
      <c r="X1252" s="22">
        <v>15.636424999999999</v>
      </c>
      <c r="Y1252" s="22">
        <v>679600</v>
      </c>
      <c r="Z1252" s="22">
        <v>-2.64602E-2</v>
      </c>
    </row>
    <row r="1253" spans="19:26" ht="16" x14ac:dyDescent="0.2">
      <c r="S1253" s="23">
        <v>43955</v>
      </c>
      <c r="T1253" s="22">
        <v>19.299999199999998</v>
      </c>
      <c r="U1253" s="22">
        <v>19.719999300000001</v>
      </c>
      <c r="V1253" s="22">
        <v>19.110000599999999</v>
      </c>
      <c r="W1253" s="22">
        <v>19.700000800000002</v>
      </c>
      <c r="X1253" s="22">
        <v>15.796800599999999</v>
      </c>
      <c r="Y1253" s="22">
        <v>391100</v>
      </c>
      <c r="Z1253" s="22">
        <v>1.025654E-2</v>
      </c>
    </row>
    <row r="1254" spans="19:26" ht="16" x14ac:dyDescent="0.2">
      <c r="S1254" s="23">
        <v>43956</v>
      </c>
      <c r="T1254" s="22">
        <v>20.090000199999999</v>
      </c>
      <c r="U1254" s="22">
        <v>20.4300003</v>
      </c>
      <c r="V1254" s="22">
        <v>19.9300003</v>
      </c>
      <c r="W1254" s="22">
        <v>20.3099995</v>
      </c>
      <c r="X1254" s="22">
        <v>16.285936400000001</v>
      </c>
      <c r="Y1254" s="22">
        <v>446600</v>
      </c>
      <c r="Z1254" s="22">
        <v>3.0964229999999999E-2</v>
      </c>
    </row>
    <row r="1255" spans="19:26" ht="16" x14ac:dyDescent="0.2">
      <c r="S1255" s="23">
        <v>43957</v>
      </c>
      <c r="T1255" s="22">
        <v>20.399999600000001</v>
      </c>
      <c r="U1255" s="22">
        <v>20.399999600000001</v>
      </c>
      <c r="V1255" s="22">
        <v>19.729999500000002</v>
      </c>
      <c r="W1255" s="22">
        <v>19.840000199999999</v>
      </c>
      <c r="X1255" s="22">
        <v>15.9090633</v>
      </c>
      <c r="Y1255" s="22">
        <v>691700</v>
      </c>
      <c r="Z1255" s="22">
        <v>-2.3140999999999998E-2</v>
      </c>
    </row>
    <row r="1256" spans="19:26" ht="16" x14ac:dyDescent="0.2">
      <c r="S1256" s="23">
        <v>43958</v>
      </c>
      <c r="T1256" s="22">
        <v>20.110000599999999</v>
      </c>
      <c r="U1256" s="22">
        <v>20.5599995</v>
      </c>
      <c r="V1256" s="22">
        <v>19.7399998</v>
      </c>
      <c r="W1256" s="22">
        <v>20.4400005</v>
      </c>
      <c r="X1256" s="22">
        <v>16.390184399999999</v>
      </c>
      <c r="Y1256" s="22">
        <v>507100</v>
      </c>
      <c r="Z1256" s="22">
        <v>3.024195E-2</v>
      </c>
    </row>
    <row r="1257" spans="19:26" ht="16" x14ac:dyDescent="0.2">
      <c r="S1257" s="23">
        <v>43959</v>
      </c>
      <c r="T1257" s="22">
        <v>20.770000499999998</v>
      </c>
      <c r="U1257" s="22">
        <v>21.139999400000001</v>
      </c>
      <c r="V1257" s="22">
        <v>20.639999400000001</v>
      </c>
      <c r="W1257" s="22">
        <v>21.020000499999998</v>
      </c>
      <c r="X1257" s="22">
        <v>16.855264699999999</v>
      </c>
      <c r="Y1257" s="22">
        <v>529400</v>
      </c>
      <c r="Z1257" s="22">
        <v>2.8375540000000001E-2</v>
      </c>
    </row>
    <row r="1258" spans="19:26" ht="16" x14ac:dyDescent="0.2">
      <c r="S1258" s="23">
        <v>43962</v>
      </c>
      <c r="T1258" s="22">
        <v>20.790000899999999</v>
      </c>
      <c r="U1258" s="22">
        <v>21.8099995</v>
      </c>
      <c r="V1258" s="22">
        <v>20.670000099999999</v>
      </c>
      <c r="W1258" s="22">
        <v>21.4899998</v>
      </c>
      <c r="X1258" s="22">
        <v>17.232143399999998</v>
      </c>
      <c r="Y1258" s="22">
        <v>960900</v>
      </c>
      <c r="Z1258" s="22">
        <v>2.23597E-2</v>
      </c>
    </row>
    <row r="1259" spans="19:26" ht="16" x14ac:dyDescent="0.2">
      <c r="S1259" s="23">
        <v>43963</v>
      </c>
      <c r="T1259" s="22">
        <v>21.469999300000001</v>
      </c>
      <c r="U1259" s="22">
        <v>21.670000099999999</v>
      </c>
      <c r="V1259" s="22">
        <v>20.8799992</v>
      </c>
      <c r="W1259" s="22">
        <v>21</v>
      </c>
      <c r="X1259" s="22">
        <v>16.839229599999999</v>
      </c>
      <c r="Y1259" s="22">
        <v>971600</v>
      </c>
      <c r="Z1259" s="22">
        <v>-2.2801200000000001E-2</v>
      </c>
    </row>
    <row r="1260" spans="19:26" ht="16" x14ac:dyDescent="0.2">
      <c r="S1260" s="23">
        <v>43964</v>
      </c>
      <c r="T1260" s="22">
        <v>20.840000199999999</v>
      </c>
      <c r="U1260" s="22">
        <v>21.030000699999999</v>
      </c>
      <c r="V1260" s="22">
        <v>20.350000399999999</v>
      </c>
      <c r="W1260" s="22">
        <v>20.6299992</v>
      </c>
      <c r="X1260" s="22">
        <v>16.542533899999999</v>
      </c>
      <c r="Y1260" s="22">
        <v>689600</v>
      </c>
      <c r="Z1260" s="22">
        <v>-1.7619300000000001E-2</v>
      </c>
    </row>
    <row r="1261" spans="19:26" ht="16" x14ac:dyDescent="0.2">
      <c r="S1261" s="23">
        <v>43965</v>
      </c>
      <c r="T1261" s="22">
        <v>20.3199997</v>
      </c>
      <c r="U1261" s="22">
        <v>20.530000699999999</v>
      </c>
      <c r="V1261" s="22">
        <v>19.860000599999999</v>
      </c>
      <c r="W1261" s="22">
        <v>20.5</v>
      </c>
      <c r="X1261" s="22">
        <v>16.4382935</v>
      </c>
      <c r="Y1261" s="22">
        <v>682400</v>
      </c>
      <c r="Z1261" s="22">
        <v>-6.3014000000000004E-3</v>
      </c>
    </row>
    <row r="1262" spans="19:26" ht="16" x14ac:dyDescent="0.2">
      <c r="S1262" s="23">
        <v>43966</v>
      </c>
      <c r="T1262" s="22">
        <v>20.520000499999998</v>
      </c>
      <c r="U1262" s="22">
        <v>20.590000199999999</v>
      </c>
      <c r="V1262" s="22">
        <v>20.219999300000001</v>
      </c>
      <c r="W1262" s="22">
        <v>20.360000599999999</v>
      </c>
      <c r="X1262" s="22">
        <v>16.326034499999999</v>
      </c>
      <c r="Y1262" s="22">
        <v>605700</v>
      </c>
      <c r="Z1262" s="22">
        <v>-6.8291000000000003E-3</v>
      </c>
    </row>
    <row r="1263" spans="19:26" ht="16" x14ac:dyDescent="0.2">
      <c r="S1263" s="23">
        <v>43969</v>
      </c>
      <c r="T1263" s="22">
        <v>21</v>
      </c>
      <c r="U1263" s="22">
        <v>21.200000800000002</v>
      </c>
      <c r="V1263" s="22">
        <v>20.790000899999999</v>
      </c>
      <c r="W1263" s="22">
        <v>20.9300003</v>
      </c>
      <c r="X1263" s="22">
        <v>16.783100099999999</v>
      </c>
      <c r="Y1263" s="22">
        <v>652100</v>
      </c>
      <c r="Z1263" s="22">
        <v>2.7996119999999999E-2</v>
      </c>
    </row>
    <row r="1264" spans="19:26" ht="16" x14ac:dyDescent="0.2">
      <c r="S1264" s="23">
        <v>43970</v>
      </c>
      <c r="T1264" s="22">
        <v>20.9300003</v>
      </c>
      <c r="U1264" s="22">
        <v>21.1900005</v>
      </c>
      <c r="V1264" s="22">
        <v>20.649999600000001</v>
      </c>
      <c r="W1264" s="22">
        <v>20.6800003</v>
      </c>
      <c r="X1264" s="22">
        <v>16.582632100000001</v>
      </c>
      <c r="Y1264" s="22">
        <v>1315200</v>
      </c>
      <c r="Z1264" s="22">
        <v>-1.19446E-2</v>
      </c>
    </row>
    <row r="1265" spans="19:26" ht="16" x14ac:dyDescent="0.2">
      <c r="S1265" s="23">
        <v>43971</v>
      </c>
      <c r="T1265" s="22">
        <v>20.9899998</v>
      </c>
      <c r="U1265" s="22">
        <v>21.0699997</v>
      </c>
      <c r="V1265" s="22">
        <v>20.770000499999998</v>
      </c>
      <c r="W1265" s="22">
        <v>20.969999300000001</v>
      </c>
      <c r="X1265" s="22">
        <v>16.815170299999998</v>
      </c>
      <c r="Y1265" s="22">
        <v>755400</v>
      </c>
      <c r="Z1265" s="22">
        <v>1.4023000000000001E-2</v>
      </c>
    </row>
    <row r="1266" spans="19:26" ht="16" x14ac:dyDescent="0.2">
      <c r="S1266" s="23">
        <v>43972</v>
      </c>
      <c r="T1266" s="22">
        <v>20.8799992</v>
      </c>
      <c r="U1266" s="22">
        <v>21.1299992</v>
      </c>
      <c r="V1266" s="22">
        <v>20.6800003</v>
      </c>
      <c r="W1266" s="22">
        <v>21.030000699999999</v>
      </c>
      <c r="X1266" s="22">
        <v>16.863285099999999</v>
      </c>
      <c r="Y1266" s="22">
        <v>585500</v>
      </c>
      <c r="Z1266" s="22">
        <v>2.8613900000000001E-3</v>
      </c>
    </row>
    <row r="1267" spans="19:26" ht="16" x14ac:dyDescent="0.2">
      <c r="S1267" s="23">
        <v>43973</v>
      </c>
      <c r="T1267" s="22">
        <v>21.0699997</v>
      </c>
      <c r="U1267" s="22">
        <v>21.170000099999999</v>
      </c>
      <c r="V1267" s="22">
        <v>20.7600002</v>
      </c>
      <c r="W1267" s="22">
        <v>21.159999800000001</v>
      </c>
      <c r="X1267" s="22">
        <v>16.967527400000002</v>
      </c>
      <c r="Y1267" s="22">
        <v>524900</v>
      </c>
      <c r="Z1267" s="22">
        <v>6.1816099999999997E-3</v>
      </c>
    </row>
    <row r="1268" spans="19:26" ht="16" x14ac:dyDescent="0.2">
      <c r="S1268" s="23">
        <v>43977</v>
      </c>
      <c r="T1268" s="22">
        <v>21.6299992</v>
      </c>
      <c r="U1268" s="22">
        <v>21.6299992</v>
      </c>
      <c r="V1268" s="22">
        <v>21.030000699999999</v>
      </c>
      <c r="W1268" s="22">
        <v>21.200000800000002</v>
      </c>
      <c r="X1268" s="22">
        <v>16.9996033</v>
      </c>
      <c r="Y1268" s="22">
        <v>1028900</v>
      </c>
      <c r="Z1268" s="22">
        <v>1.89043E-3</v>
      </c>
    </row>
    <row r="1269" spans="19:26" ht="16" x14ac:dyDescent="0.2">
      <c r="S1269" s="23">
        <v>43978</v>
      </c>
      <c r="T1269" s="22">
        <v>21.5100002</v>
      </c>
      <c r="U1269" s="22">
        <v>21.6299992</v>
      </c>
      <c r="V1269" s="22">
        <v>20.6200008</v>
      </c>
      <c r="W1269" s="22">
        <v>21.5100002</v>
      </c>
      <c r="X1269" s="22">
        <v>17.248180399999999</v>
      </c>
      <c r="Y1269" s="22">
        <v>873300</v>
      </c>
      <c r="Z1269" s="22">
        <v>1.462252E-2</v>
      </c>
    </row>
    <row r="1270" spans="19:26" ht="16" x14ac:dyDescent="0.2">
      <c r="S1270" s="23">
        <v>43979</v>
      </c>
      <c r="T1270" s="22">
        <v>21.670000099999999</v>
      </c>
      <c r="U1270" s="22">
        <v>22.170000099999999</v>
      </c>
      <c r="V1270" s="22">
        <v>21.329999900000001</v>
      </c>
      <c r="W1270" s="22">
        <v>21.7399998</v>
      </c>
      <c r="X1270" s="22">
        <v>17.432609599999999</v>
      </c>
      <c r="Y1270" s="22">
        <v>806800</v>
      </c>
      <c r="Z1270" s="22">
        <v>1.069267E-2</v>
      </c>
    </row>
    <row r="1271" spans="19:26" ht="16" x14ac:dyDescent="0.2">
      <c r="S1271" s="23">
        <v>43980</v>
      </c>
      <c r="T1271" s="22">
        <v>21.4300003</v>
      </c>
      <c r="U1271" s="22">
        <v>22.079999900000001</v>
      </c>
      <c r="V1271" s="22">
        <v>21.4300003</v>
      </c>
      <c r="W1271" s="22">
        <v>21.909999800000001</v>
      </c>
      <c r="X1271" s="22">
        <v>17.740291599999999</v>
      </c>
      <c r="Y1271" s="22">
        <v>977300</v>
      </c>
      <c r="Z1271" s="22">
        <v>1.76498E-2</v>
      </c>
    </row>
    <row r="1272" spans="19:26" ht="16" x14ac:dyDescent="0.2">
      <c r="S1272" s="23">
        <v>43983</v>
      </c>
      <c r="T1272" s="22">
        <v>21.840000199999999</v>
      </c>
      <c r="U1272" s="22">
        <v>22.360000599999999</v>
      </c>
      <c r="V1272" s="22">
        <v>21.709999100000001</v>
      </c>
      <c r="W1272" s="22">
        <v>22.0599995</v>
      </c>
      <c r="X1272" s="22">
        <v>17.8617439</v>
      </c>
      <c r="Y1272" s="22">
        <v>892000</v>
      </c>
      <c r="Z1272" s="22">
        <v>6.8461299999999998E-3</v>
      </c>
    </row>
    <row r="1273" spans="19:26" ht="16" x14ac:dyDescent="0.2">
      <c r="S1273" s="23">
        <v>43984</v>
      </c>
      <c r="T1273" s="22">
        <v>22.2399998</v>
      </c>
      <c r="U1273" s="22">
        <v>22.459999100000001</v>
      </c>
      <c r="V1273" s="22">
        <v>21.909999800000001</v>
      </c>
      <c r="W1273" s="22">
        <v>22.2600002</v>
      </c>
      <c r="X1273" s="22">
        <v>18.023683500000001</v>
      </c>
      <c r="Y1273" s="22">
        <v>529900</v>
      </c>
      <c r="Z1273" s="22">
        <v>9.0662799999999995E-3</v>
      </c>
    </row>
    <row r="1274" spans="19:26" ht="16" x14ac:dyDescent="0.2">
      <c r="S1274" s="23">
        <v>43985</v>
      </c>
      <c r="T1274" s="22">
        <v>22.4300003</v>
      </c>
      <c r="U1274" s="22">
        <v>22.700000800000002</v>
      </c>
      <c r="V1274" s="22">
        <v>22.399999600000001</v>
      </c>
      <c r="W1274" s="22">
        <v>22.5</v>
      </c>
      <c r="X1274" s="22">
        <v>18.2180119</v>
      </c>
      <c r="Y1274" s="22">
        <v>595000</v>
      </c>
      <c r="Z1274" s="22">
        <v>1.0781829999999999E-2</v>
      </c>
    </row>
    <row r="1275" spans="19:26" ht="16" x14ac:dyDescent="0.2">
      <c r="S1275" s="23">
        <v>43986</v>
      </c>
      <c r="T1275" s="22">
        <v>22.280000699999999</v>
      </c>
      <c r="U1275" s="22">
        <v>22.8799992</v>
      </c>
      <c r="V1275" s="22">
        <v>22.1200008</v>
      </c>
      <c r="W1275" s="22">
        <v>22.860000599999999</v>
      </c>
      <c r="X1275" s="22">
        <v>18.509498600000001</v>
      </c>
      <c r="Y1275" s="22">
        <v>1022900</v>
      </c>
      <c r="Z1275" s="22">
        <v>1.5999920000000001E-2</v>
      </c>
    </row>
    <row r="1276" spans="19:26" ht="16" x14ac:dyDescent="0.2">
      <c r="S1276" s="23">
        <v>43987</v>
      </c>
      <c r="T1276" s="22">
        <v>23.200000800000002</v>
      </c>
      <c r="U1276" s="22">
        <v>23.579999900000001</v>
      </c>
      <c r="V1276" s="22">
        <v>22.840000199999999</v>
      </c>
      <c r="W1276" s="22">
        <v>22.920000099999999</v>
      </c>
      <c r="X1276" s="22">
        <v>18.5580769</v>
      </c>
      <c r="Y1276" s="22">
        <v>483200</v>
      </c>
      <c r="Z1276" s="22">
        <v>2.6245000000000001E-3</v>
      </c>
    </row>
    <row r="1277" spans="19:26" ht="16" x14ac:dyDescent="0.2">
      <c r="S1277" s="23">
        <v>43990</v>
      </c>
      <c r="T1277" s="22">
        <v>22.969999300000001</v>
      </c>
      <c r="U1277" s="22">
        <v>23.549999199999998</v>
      </c>
      <c r="V1277" s="22">
        <v>22.840000199999999</v>
      </c>
      <c r="W1277" s="22">
        <v>23.399999600000001</v>
      </c>
      <c r="X1277" s="22">
        <v>18.9467316</v>
      </c>
      <c r="Y1277" s="22">
        <v>433500</v>
      </c>
      <c r="Z1277" s="22">
        <v>2.0942619999999999E-2</v>
      </c>
    </row>
    <row r="1278" spans="19:26" ht="16" x14ac:dyDescent="0.2">
      <c r="S1278" s="23">
        <v>43991</v>
      </c>
      <c r="T1278" s="22">
        <v>23.1200008</v>
      </c>
      <c r="U1278" s="22">
        <v>23.1800003</v>
      </c>
      <c r="V1278" s="22">
        <v>22.6800003</v>
      </c>
      <c r="W1278" s="22">
        <v>23.049999199999998</v>
      </c>
      <c r="X1278" s="22">
        <v>18.6633377</v>
      </c>
      <c r="Y1278" s="22">
        <v>634500</v>
      </c>
      <c r="Z1278" s="22">
        <v>-1.4957399999999999E-2</v>
      </c>
    </row>
    <row r="1279" spans="19:26" ht="16" x14ac:dyDescent="0.2">
      <c r="S1279" s="23">
        <v>43992</v>
      </c>
      <c r="T1279" s="22">
        <v>23.079999900000001</v>
      </c>
      <c r="U1279" s="22">
        <v>23.329999900000001</v>
      </c>
      <c r="V1279" s="22">
        <v>22.6299992</v>
      </c>
      <c r="W1279" s="22">
        <v>23.0100002</v>
      </c>
      <c r="X1279" s="22">
        <v>18.6309471</v>
      </c>
      <c r="Y1279" s="22">
        <v>818900</v>
      </c>
      <c r="Z1279" s="22">
        <v>-1.7355000000000001E-3</v>
      </c>
    </row>
    <row r="1280" spans="19:26" ht="16" x14ac:dyDescent="0.2">
      <c r="S1280" s="23">
        <v>43993</v>
      </c>
      <c r="T1280" s="22">
        <v>22.5</v>
      </c>
      <c r="U1280" s="22">
        <v>22.770000499999998</v>
      </c>
      <c r="V1280" s="22">
        <v>22.049999199999998</v>
      </c>
      <c r="W1280" s="22">
        <v>22.149999600000001</v>
      </c>
      <c r="X1280" s="22">
        <v>17.9346161</v>
      </c>
      <c r="Y1280" s="22">
        <v>649900</v>
      </c>
      <c r="Z1280" s="22">
        <v>-3.7374999999999999E-2</v>
      </c>
    </row>
    <row r="1281" spans="19:26" ht="16" x14ac:dyDescent="0.2">
      <c r="S1281" s="23">
        <v>43994</v>
      </c>
      <c r="T1281" s="22">
        <v>22.6900005</v>
      </c>
      <c r="U1281" s="22">
        <v>22.8799992</v>
      </c>
      <c r="V1281" s="22">
        <v>21.840000199999999</v>
      </c>
      <c r="W1281" s="22">
        <v>22.159999800000001</v>
      </c>
      <c r="X1281" s="22">
        <v>17.9427147</v>
      </c>
      <c r="Y1281" s="22">
        <v>1022500</v>
      </c>
      <c r="Z1281" s="22">
        <v>4.5155999999999999E-4</v>
      </c>
    </row>
    <row r="1282" spans="19:26" ht="16" x14ac:dyDescent="0.2">
      <c r="S1282" s="23">
        <v>43997</v>
      </c>
      <c r="T1282" s="22">
        <v>21.7399998</v>
      </c>
      <c r="U1282" s="22">
        <v>22.829999900000001</v>
      </c>
      <c r="V1282" s="22">
        <v>21.6900005</v>
      </c>
      <c r="W1282" s="22">
        <v>22.719999300000001</v>
      </c>
      <c r="X1282" s="22">
        <v>18.396139099999999</v>
      </c>
      <c r="Y1282" s="22">
        <v>649200</v>
      </c>
      <c r="Z1282" s="22">
        <v>2.5270669999999999E-2</v>
      </c>
    </row>
    <row r="1283" spans="19:26" ht="16" x14ac:dyDescent="0.2">
      <c r="S1283" s="23">
        <v>43998</v>
      </c>
      <c r="T1283" s="22">
        <v>23.25</v>
      </c>
      <c r="U1283" s="22">
        <v>24.329999900000001</v>
      </c>
      <c r="V1283" s="22">
        <v>22.600000399999999</v>
      </c>
      <c r="W1283" s="22">
        <v>23.850000399999999</v>
      </c>
      <c r="X1283" s="22">
        <v>19.3110924</v>
      </c>
      <c r="Y1283" s="22">
        <v>1395400</v>
      </c>
      <c r="Z1283" s="22">
        <v>4.9736160000000001E-2</v>
      </c>
    </row>
    <row r="1284" spans="19:26" ht="16" x14ac:dyDescent="0.2">
      <c r="S1284" s="23">
        <v>43999</v>
      </c>
      <c r="T1284" s="22">
        <v>24.030000699999999</v>
      </c>
      <c r="U1284" s="22">
        <v>24.030000699999999</v>
      </c>
      <c r="V1284" s="22">
        <v>23.4300003</v>
      </c>
      <c r="W1284" s="22">
        <v>23.6800003</v>
      </c>
      <c r="X1284" s="22">
        <v>19.173438999999998</v>
      </c>
      <c r="Y1284" s="22">
        <v>825500</v>
      </c>
      <c r="Z1284" s="22">
        <v>-7.1282000000000003E-3</v>
      </c>
    </row>
    <row r="1285" spans="19:26" ht="16" x14ac:dyDescent="0.2">
      <c r="S1285" s="23">
        <v>44000</v>
      </c>
      <c r="T1285" s="22">
        <v>23.459999100000001</v>
      </c>
      <c r="U1285" s="22">
        <v>24.170000099999999</v>
      </c>
      <c r="V1285" s="22">
        <v>23.4400005</v>
      </c>
      <c r="W1285" s="22">
        <v>23.8099995</v>
      </c>
      <c r="X1285" s="22">
        <v>19.278705599999999</v>
      </c>
      <c r="Y1285" s="22">
        <v>449700</v>
      </c>
      <c r="Z1285" s="22">
        <v>5.4902299999999996E-3</v>
      </c>
    </row>
    <row r="1286" spans="19:26" ht="16" x14ac:dyDescent="0.2">
      <c r="S1286" s="23">
        <v>44001</v>
      </c>
      <c r="T1286" s="22">
        <v>24.1900005</v>
      </c>
      <c r="U1286" s="22">
        <v>24.329999900000001</v>
      </c>
      <c r="V1286" s="22">
        <v>23.579999900000001</v>
      </c>
      <c r="W1286" s="22">
        <v>23.709999100000001</v>
      </c>
      <c r="X1286" s="22">
        <v>19.197731000000001</v>
      </c>
      <c r="Y1286" s="22">
        <v>847600</v>
      </c>
      <c r="Z1286" s="22">
        <v>-4.2002000000000003E-3</v>
      </c>
    </row>
    <row r="1287" spans="19:26" ht="16" x14ac:dyDescent="0.2">
      <c r="S1287" s="23">
        <v>44004</v>
      </c>
      <c r="T1287" s="22">
        <v>23.6800003</v>
      </c>
      <c r="U1287" s="22">
        <v>25.090000199999999</v>
      </c>
      <c r="V1287" s="22">
        <v>23.579999900000001</v>
      </c>
      <c r="W1287" s="22">
        <v>24.75</v>
      </c>
      <c r="X1287" s="22">
        <v>20.039808300000001</v>
      </c>
      <c r="Y1287" s="22">
        <v>1508400</v>
      </c>
      <c r="Z1287" s="22">
        <v>4.3863369999999999E-2</v>
      </c>
    </row>
    <row r="1288" spans="19:26" ht="16" x14ac:dyDescent="0.2">
      <c r="S1288" s="23">
        <v>44005</v>
      </c>
      <c r="T1288" s="22">
        <v>24.9899998</v>
      </c>
      <c r="U1288" s="22">
        <v>24.9899998</v>
      </c>
      <c r="V1288" s="22">
        <v>23.469999300000001</v>
      </c>
      <c r="W1288" s="22">
        <v>23.600000399999999</v>
      </c>
      <c r="X1288" s="22">
        <v>19.108665500000001</v>
      </c>
      <c r="Y1288" s="22">
        <v>829700</v>
      </c>
      <c r="Z1288" s="22">
        <v>-4.6464699999999998E-2</v>
      </c>
    </row>
    <row r="1289" spans="19:26" ht="16" x14ac:dyDescent="0.2">
      <c r="S1289" s="23">
        <v>44006</v>
      </c>
      <c r="T1289" s="22">
        <v>23.2600002</v>
      </c>
      <c r="U1289" s="22">
        <v>23.409999800000001</v>
      </c>
      <c r="V1289" s="22">
        <v>22.829999900000001</v>
      </c>
      <c r="W1289" s="22">
        <v>23.1900005</v>
      </c>
      <c r="X1289" s="22">
        <v>18.776691400000001</v>
      </c>
      <c r="Y1289" s="22">
        <v>595100</v>
      </c>
      <c r="Z1289" s="22">
        <v>-1.7373E-2</v>
      </c>
    </row>
    <row r="1290" spans="19:26" ht="16" x14ac:dyDescent="0.2">
      <c r="S1290" s="23">
        <v>44007</v>
      </c>
      <c r="T1290" s="22">
        <v>23.1200008</v>
      </c>
      <c r="U1290" s="22">
        <v>23.170000099999999</v>
      </c>
      <c r="V1290" s="22">
        <v>22.75</v>
      </c>
      <c r="W1290" s="22">
        <v>23.159999800000001</v>
      </c>
      <c r="X1290" s="22">
        <v>18.752403300000001</v>
      </c>
      <c r="Y1290" s="22">
        <v>419900</v>
      </c>
      <c r="Z1290" s="22">
        <v>-1.2934999999999999E-3</v>
      </c>
    </row>
    <row r="1291" spans="19:26" ht="16" x14ac:dyDescent="0.2">
      <c r="S1291" s="23">
        <v>44008</v>
      </c>
      <c r="T1291" s="22">
        <v>22.9899998</v>
      </c>
      <c r="U1291" s="22">
        <v>23.139999400000001</v>
      </c>
      <c r="V1291" s="22">
        <v>22.579999900000001</v>
      </c>
      <c r="W1291" s="22">
        <v>22.709999100000001</v>
      </c>
      <c r="X1291" s="22">
        <v>18.3880482</v>
      </c>
      <c r="Y1291" s="22">
        <v>1059400</v>
      </c>
      <c r="Z1291" s="22">
        <v>-1.9429800000000001E-2</v>
      </c>
    </row>
    <row r="1292" spans="19:26" ht="16" x14ac:dyDescent="0.2">
      <c r="S1292" s="23">
        <v>44011</v>
      </c>
      <c r="T1292" s="22">
        <v>22.770000499999998</v>
      </c>
      <c r="U1292" s="22">
        <v>23.030000699999999</v>
      </c>
      <c r="V1292" s="22">
        <v>22.530000699999999</v>
      </c>
      <c r="W1292" s="22">
        <v>23</v>
      </c>
      <c r="X1292" s="22">
        <v>18.6228485</v>
      </c>
      <c r="Y1292" s="22">
        <v>327100</v>
      </c>
      <c r="Z1292" s="22">
        <v>1.276918E-2</v>
      </c>
    </row>
    <row r="1293" spans="19:26" ht="16" x14ac:dyDescent="0.2">
      <c r="S1293" s="23">
        <v>44012</v>
      </c>
      <c r="T1293" s="22">
        <v>22.9400005</v>
      </c>
      <c r="U1293" s="22">
        <v>23.1900005</v>
      </c>
      <c r="V1293" s="22">
        <v>22.860000599999999</v>
      </c>
      <c r="W1293" s="22">
        <v>23.0599995</v>
      </c>
      <c r="X1293" s="22">
        <v>18.6714363</v>
      </c>
      <c r="Y1293" s="22">
        <v>347800</v>
      </c>
      <c r="Z1293" s="22">
        <v>2.60904E-3</v>
      </c>
    </row>
    <row r="1294" spans="19:26" ht="16" x14ac:dyDescent="0.2">
      <c r="S1294" s="23">
        <v>44013</v>
      </c>
      <c r="T1294" s="22">
        <v>22.600000399999999</v>
      </c>
      <c r="U1294" s="22">
        <v>23.0699997</v>
      </c>
      <c r="V1294" s="22">
        <v>22.600000399999999</v>
      </c>
      <c r="W1294" s="22">
        <v>22.969999300000001</v>
      </c>
      <c r="X1294" s="22">
        <v>18.598564100000001</v>
      </c>
      <c r="Y1294" s="22">
        <v>532200</v>
      </c>
      <c r="Z1294" s="22">
        <v>-3.9028999999999999E-3</v>
      </c>
    </row>
    <row r="1295" spans="19:26" ht="16" x14ac:dyDescent="0.2">
      <c r="S1295" s="23">
        <v>44014</v>
      </c>
      <c r="T1295" s="22">
        <v>23.350000399999999</v>
      </c>
      <c r="U1295" s="22">
        <v>23.3700008</v>
      </c>
      <c r="V1295" s="22">
        <v>23.040000899999999</v>
      </c>
      <c r="W1295" s="22">
        <v>23.209999100000001</v>
      </c>
      <c r="X1295" s="22">
        <v>18.792890499999999</v>
      </c>
      <c r="Y1295" s="22">
        <v>528900</v>
      </c>
      <c r="Z1295" s="22">
        <v>1.044846E-2</v>
      </c>
    </row>
    <row r="1296" spans="19:26" ht="16" x14ac:dyDescent="0.2">
      <c r="S1296" s="23">
        <v>44018</v>
      </c>
      <c r="T1296" s="22">
        <v>23.540000899999999</v>
      </c>
      <c r="U1296" s="22">
        <v>23.700000800000002</v>
      </c>
      <c r="V1296" s="22">
        <v>22.899999600000001</v>
      </c>
      <c r="W1296" s="22">
        <v>23.0599995</v>
      </c>
      <c r="X1296" s="22">
        <v>18.6714363</v>
      </c>
      <c r="Y1296" s="22">
        <v>403200</v>
      </c>
      <c r="Z1296" s="22">
        <v>-6.4628000000000003E-3</v>
      </c>
    </row>
    <row r="1297" spans="19:26" ht="16" x14ac:dyDescent="0.2">
      <c r="S1297" s="23">
        <v>44019</v>
      </c>
      <c r="T1297" s="22">
        <v>22.8700008</v>
      </c>
      <c r="U1297" s="22">
        <v>23.159999800000001</v>
      </c>
      <c r="V1297" s="22">
        <v>22.659999800000001</v>
      </c>
      <c r="W1297" s="22">
        <v>23.0100002</v>
      </c>
      <c r="X1297" s="22">
        <v>18.6309471</v>
      </c>
      <c r="Y1297" s="22">
        <v>529800</v>
      </c>
      <c r="Z1297" s="22">
        <v>-2.1684999999999999E-3</v>
      </c>
    </row>
    <row r="1298" spans="19:26" ht="16" x14ac:dyDescent="0.2">
      <c r="S1298" s="23">
        <v>44020</v>
      </c>
      <c r="T1298" s="22">
        <v>22.950000800000002</v>
      </c>
      <c r="U1298" s="22">
        <v>23.1299992</v>
      </c>
      <c r="V1298" s="22">
        <v>22.700000800000002</v>
      </c>
      <c r="W1298" s="22">
        <v>22.959999100000001</v>
      </c>
      <c r="X1298" s="22">
        <v>18.590461699999999</v>
      </c>
      <c r="Y1298" s="22">
        <v>483100</v>
      </c>
      <c r="Z1298" s="22">
        <v>-2.173E-3</v>
      </c>
    </row>
    <row r="1299" spans="19:26" ht="16" x14ac:dyDescent="0.2">
      <c r="S1299" s="23">
        <v>44021</v>
      </c>
      <c r="T1299" s="22">
        <v>22.950000800000002</v>
      </c>
      <c r="U1299" s="22">
        <v>23.020000499999998</v>
      </c>
      <c r="V1299" s="22">
        <v>22.1200008</v>
      </c>
      <c r="W1299" s="22">
        <v>22.209999100000001</v>
      </c>
      <c r="X1299" s="22">
        <v>17.983194399999999</v>
      </c>
      <c r="Y1299" s="22">
        <v>716200</v>
      </c>
      <c r="Z1299" s="22">
        <v>-3.26655E-2</v>
      </c>
    </row>
    <row r="1300" spans="19:26" ht="16" x14ac:dyDescent="0.2">
      <c r="S1300" s="23">
        <v>44022</v>
      </c>
      <c r="T1300" s="22">
        <v>22.1900005</v>
      </c>
      <c r="U1300" s="22">
        <v>22.790000899999999</v>
      </c>
      <c r="V1300" s="22">
        <v>22.0599995</v>
      </c>
      <c r="W1300" s="22">
        <v>22.579999900000001</v>
      </c>
      <c r="X1300" s="22">
        <v>18.2827816</v>
      </c>
      <c r="Y1300" s="22">
        <v>397400</v>
      </c>
      <c r="Z1300" s="22">
        <v>1.665929E-2</v>
      </c>
    </row>
    <row r="1301" spans="19:26" ht="16" x14ac:dyDescent="0.2">
      <c r="S1301" s="23">
        <v>44025</v>
      </c>
      <c r="T1301" s="22">
        <v>22.6900005</v>
      </c>
      <c r="U1301" s="22">
        <v>23.200000800000002</v>
      </c>
      <c r="V1301" s="22">
        <v>22.530000699999999</v>
      </c>
      <c r="W1301" s="22">
        <v>22.729999500000002</v>
      </c>
      <c r="X1301" s="22">
        <v>18.404235799999999</v>
      </c>
      <c r="Y1301" s="22">
        <v>443800</v>
      </c>
      <c r="Z1301" s="22">
        <v>6.6430899999999999E-3</v>
      </c>
    </row>
    <row r="1302" spans="19:26" ht="16" x14ac:dyDescent="0.2">
      <c r="S1302" s="23">
        <v>44026</v>
      </c>
      <c r="T1302" s="22">
        <v>22.7600002</v>
      </c>
      <c r="U1302" s="22">
        <v>23.280000699999999</v>
      </c>
      <c r="V1302" s="22">
        <v>22.5599995</v>
      </c>
      <c r="W1302" s="22">
        <v>23.270000499999998</v>
      </c>
      <c r="X1302" s="22">
        <v>18.841470699999999</v>
      </c>
      <c r="Y1302" s="22">
        <v>322600</v>
      </c>
      <c r="Z1302" s="22">
        <v>2.3757299999999999E-2</v>
      </c>
    </row>
    <row r="1303" spans="19:26" ht="16" x14ac:dyDescent="0.2">
      <c r="S1303" s="23">
        <v>44027</v>
      </c>
      <c r="T1303" s="22">
        <v>23.5699997</v>
      </c>
      <c r="U1303" s="22">
        <v>23.8799992</v>
      </c>
      <c r="V1303" s="22">
        <v>23.3199997</v>
      </c>
      <c r="W1303" s="22">
        <v>23.4899998</v>
      </c>
      <c r="X1303" s="22">
        <v>19.019597999999998</v>
      </c>
      <c r="Y1303" s="22">
        <v>481900</v>
      </c>
      <c r="Z1303" s="22">
        <v>9.4540000000000006E-3</v>
      </c>
    </row>
    <row r="1304" spans="19:26" ht="16" x14ac:dyDescent="0.2">
      <c r="S1304" s="23">
        <v>44028</v>
      </c>
      <c r="T1304" s="22">
        <v>23.5599995</v>
      </c>
      <c r="U1304" s="22">
        <v>23.639999400000001</v>
      </c>
      <c r="V1304" s="22">
        <v>23.200000800000002</v>
      </c>
      <c r="W1304" s="22">
        <v>23.340000199999999</v>
      </c>
      <c r="X1304" s="22">
        <v>18.898147600000001</v>
      </c>
      <c r="Y1304" s="22">
        <v>472600</v>
      </c>
      <c r="Z1304" s="22">
        <v>-6.3854999999999997E-3</v>
      </c>
    </row>
    <row r="1305" spans="19:26" ht="16" x14ac:dyDescent="0.2">
      <c r="S1305" s="23">
        <v>44029</v>
      </c>
      <c r="T1305" s="22">
        <v>23.399999600000001</v>
      </c>
      <c r="U1305" s="22">
        <v>23.6800003</v>
      </c>
      <c r="V1305" s="22">
        <v>23.360000599999999</v>
      </c>
      <c r="W1305" s="22">
        <v>23.610000599999999</v>
      </c>
      <c r="X1305" s="22">
        <v>19.116758300000001</v>
      </c>
      <c r="Y1305" s="22">
        <v>373200</v>
      </c>
      <c r="Z1305" s="22">
        <v>1.1567839999999999E-2</v>
      </c>
    </row>
    <row r="1306" spans="19:26" ht="16" x14ac:dyDescent="0.2">
      <c r="S1306" s="23">
        <v>44032</v>
      </c>
      <c r="T1306" s="22">
        <v>23.479999500000002</v>
      </c>
      <c r="U1306" s="22">
        <v>23.590000199999999</v>
      </c>
      <c r="V1306" s="22">
        <v>23.090000199999999</v>
      </c>
      <c r="W1306" s="22">
        <v>23.329999900000001</v>
      </c>
      <c r="X1306" s="22">
        <v>18.8900471</v>
      </c>
      <c r="Y1306" s="22">
        <v>243400</v>
      </c>
      <c r="Z1306" s="22">
        <v>-1.18593E-2</v>
      </c>
    </row>
    <row r="1307" spans="19:26" ht="16" x14ac:dyDescent="0.2">
      <c r="S1307" s="23">
        <v>44033</v>
      </c>
      <c r="T1307" s="22">
        <v>23.6299992</v>
      </c>
      <c r="U1307" s="22">
        <v>24.040000899999999</v>
      </c>
      <c r="V1307" s="22">
        <v>23.530000699999999</v>
      </c>
      <c r="W1307" s="22">
        <v>23.9300003</v>
      </c>
      <c r="X1307" s="22">
        <v>19.375865900000001</v>
      </c>
      <c r="Y1307" s="22">
        <v>483000</v>
      </c>
      <c r="Z1307" s="22">
        <v>2.5718250000000002E-2</v>
      </c>
    </row>
    <row r="1308" spans="19:26" ht="16" x14ac:dyDescent="0.2">
      <c r="S1308" s="23">
        <v>44034</v>
      </c>
      <c r="T1308" s="22">
        <v>23.829999900000001</v>
      </c>
      <c r="U1308" s="22">
        <v>24.520000499999998</v>
      </c>
      <c r="V1308" s="22">
        <v>23.7600002</v>
      </c>
      <c r="W1308" s="22">
        <v>24.409999800000001</v>
      </c>
      <c r="X1308" s="22">
        <v>19.764516799999999</v>
      </c>
      <c r="Y1308" s="22">
        <v>364600</v>
      </c>
      <c r="Z1308" s="22">
        <v>2.00585E-2</v>
      </c>
    </row>
    <row r="1309" spans="19:26" ht="16" x14ac:dyDescent="0.2">
      <c r="S1309" s="23">
        <v>44035</v>
      </c>
      <c r="T1309" s="22">
        <v>24.5</v>
      </c>
      <c r="U1309" s="22">
        <v>25.049999199999998</v>
      </c>
      <c r="V1309" s="22">
        <v>24.4300003</v>
      </c>
      <c r="W1309" s="22">
        <v>24.6200008</v>
      </c>
      <c r="X1309" s="22">
        <v>19.9345493</v>
      </c>
      <c r="Y1309" s="22">
        <v>404500</v>
      </c>
      <c r="Z1309" s="22">
        <v>8.60292E-3</v>
      </c>
    </row>
    <row r="1310" spans="19:26" ht="16" x14ac:dyDescent="0.2">
      <c r="S1310" s="23">
        <v>44036</v>
      </c>
      <c r="T1310" s="22">
        <v>24.5699997</v>
      </c>
      <c r="U1310" s="22">
        <v>24.639999400000001</v>
      </c>
      <c r="V1310" s="22">
        <v>24</v>
      </c>
      <c r="W1310" s="22">
        <v>24.159999800000001</v>
      </c>
      <c r="X1310" s="22">
        <v>19.562091800000001</v>
      </c>
      <c r="Y1310" s="22">
        <v>370700</v>
      </c>
      <c r="Z1310" s="22">
        <v>-1.8683999999999999E-2</v>
      </c>
    </row>
    <row r="1311" spans="19:26" ht="16" x14ac:dyDescent="0.2">
      <c r="S1311" s="23">
        <v>44039</v>
      </c>
      <c r="T1311" s="22">
        <v>24.1800003</v>
      </c>
      <c r="U1311" s="22">
        <v>24.389999400000001</v>
      </c>
      <c r="V1311" s="22">
        <v>23.6200008</v>
      </c>
      <c r="W1311" s="22">
        <v>23.9300003</v>
      </c>
      <c r="X1311" s="22">
        <v>19.375865900000001</v>
      </c>
      <c r="Y1311" s="22">
        <v>307100</v>
      </c>
      <c r="Z1311" s="22">
        <v>-9.5197000000000007E-3</v>
      </c>
    </row>
    <row r="1312" spans="19:26" ht="16" x14ac:dyDescent="0.2">
      <c r="S1312" s="23">
        <v>44040</v>
      </c>
      <c r="T1312" s="22">
        <v>23.770000499999998</v>
      </c>
      <c r="U1312" s="22">
        <v>24.25</v>
      </c>
      <c r="V1312" s="22">
        <v>23.7600002</v>
      </c>
      <c r="W1312" s="22">
        <v>24</v>
      </c>
      <c r="X1312" s="22">
        <v>19.432544700000001</v>
      </c>
      <c r="Y1312" s="22">
        <v>341500</v>
      </c>
      <c r="Z1312" s="22">
        <v>2.92523E-3</v>
      </c>
    </row>
    <row r="1313" spans="19:26" ht="16" x14ac:dyDescent="0.2">
      <c r="S1313" s="23">
        <v>44041</v>
      </c>
      <c r="T1313" s="22">
        <v>24.049999199999998</v>
      </c>
      <c r="U1313" s="22">
        <v>24.540000899999999</v>
      </c>
      <c r="V1313" s="22">
        <v>23.9400005</v>
      </c>
      <c r="W1313" s="22">
        <v>24.5</v>
      </c>
      <c r="X1313" s="22">
        <v>19.8373852</v>
      </c>
      <c r="Y1313" s="22">
        <v>425100</v>
      </c>
      <c r="Z1313" s="22">
        <v>2.083312E-2</v>
      </c>
    </row>
    <row r="1314" spans="19:26" ht="16" x14ac:dyDescent="0.2">
      <c r="S1314" s="23">
        <v>44042</v>
      </c>
      <c r="T1314" s="22">
        <v>24.3099995</v>
      </c>
      <c r="U1314" s="22">
        <v>24.4899998</v>
      </c>
      <c r="V1314" s="22">
        <v>24.090000199999999</v>
      </c>
      <c r="W1314" s="22">
        <v>24.360000599999999</v>
      </c>
      <c r="X1314" s="22">
        <v>19.724031400000001</v>
      </c>
      <c r="Y1314" s="22">
        <v>444500</v>
      </c>
      <c r="Z1314" s="22">
        <v>-5.7140999999999997E-3</v>
      </c>
    </row>
    <row r="1315" spans="19:26" ht="16" x14ac:dyDescent="0.2">
      <c r="S1315" s="23">
        <v>44043</v>
      </c>
      <c r="T1315" s="22">
        <v>24.3199997</v>
      </c>
      <c r="U1315" s="22">
        <v>24.5699997</v>
      </c>
      <c r="V1315" s="22">
        <v>24.079999900000001</v>
      </c>
      <c r="W1315" s="22">
        <v>24.540000899999999</v>
      </c>
      <c r="X1315" s="22">
        <v>19.869772000000001</v>
      </c>
      <c r="Y1315" s="22">
        <v>478700</v>
      </c>
      <c r="Z1315" s="22">
        <v>7.3889799999999999E-3</v>
      </c>
    </row>
    <row r="1316" spans="19:26" ht="16" x14ac:dyDescent="0.2">
      <c r="S1316" s="23">
        <v>44046</v>
      </c>
      <c r="T1316" s="22">
        <v>24.540000899999999</v>
      </c>
      <c r="U1316" s="22">
        <v>24.780000699999999</v>
      </c>
      <c r="V1316" s="22">
        <v>24.290000899999999</v>
      </c>
      <c r="W1316" s="22">
        <v>24.649999600000001</v>
      </c>
      <c r="X1316" s="22">
        <v>19.958837500000001</v>
      </c>
      <c r="Y1316" s="22">
        <v>311300</v>
      </c>
      <c r="Z1316" s="22">
        <v>4.4824599999999997E-3</v>
      </c>
    </row>
    <row r="1317" spans="19:26" ht="16" x14ac:dyDescent="0.2">
      <c r="S1317" s="23">
        <v>44047</v>
      </c>
      <c r="T1317" s="22">
        <v>24.639999400000001</v>
      </c>
      <c r="U1317" s="22">
        <v>25.0100002</v>
      </c>
      <c r="V1317" s="22">
        <v>24.520000499999998</v>
      </c>
      <c r="W1317" s="22">
        <v>24.950000800000002</v>
      </c>
      <c r="X1317" s="22">
        <v>20.201749800000002</v>
      </c>
      <c r="Y1317" s="22">
        <v>345000</v>
      </c>
      <c r="Z1317" s="22">
        <v>1.217066E-2</v>
      </c>
    </row>
    <row r="1318" spans="19:26" ht="16" x14ac:dyDescent="0.2">
      <c r="S1318" s="23">
        <v>44048</v>
      </c>
      <c r="T1318" s="22">
        <v>25.159999800000001</v>
      </c>
      <c r="U1318" s="22">
        <v>25.829999900000001</v>
      </c>
      <c r="V1318" s="22">
        <v>25.040000899999999</v>
      </c>
      <c r="W1318" s="22">
        <v>25.770000499999998</v>
      </c>
      <c r="X1318" s="22">
        <v>20.8656921</v>
      </c>
      <c r="Y1318" s="22">
        <v>802100</v>
      </c>
      <c r="Z1318" s="22">
        <v>3.286559E-2</v>
      </c>
    </row>
    <row r="1319" spans="19:26" ht="16" x14ac:dyDescent="0.2">
      <c r="S1319" s="23">
        <v>44049</v>
      </c>
      <c r="T1319" s="22">
        <v>26.280000699999999</v>
      </c>
      <c r="U1319" s="22">
        <v>26.3199997</v>
      </c>
      <c r="V1319" s="22">
        <v>25.200000800000002</v>
      </c>
      <c r="W1319" s="22">
        <v>25.770000499999998</v>
      </c>
      <c r="X1319" s="22">
        <v>20.8656921</v>
      </c>
      <c r="Y1319" s="22">
        <v>438300</v>
      </c>
      <c r="Z1319" s="22">
        <v>0</v>
      </c>
    </row>
    <row r="1320" spans="19:26" ht="16" x14ac:dyDescent="0.2">
      <c r="S1320" s="23">
        <v>44050</v>
      </c>
      <c r="T1320" s="22">
        <v>25.770000499999998</v>
      </c>
      <c r="U1320" s="22">
        <v>27.049999199999998</v>
      </c>
      <c r="V1320" s="22">
        <v>25.7600002</v>
      </c>
      <c r="W1320" s="22">
        <v>26.8799992</v>
      </c>
      <c r="X1320" s="22">
        <v>21.764446299999999</v>
      </c>
      <c r="Y1320" s="22">
        <v>529700</v>
      </c>
      <c r="Z1320" s="22">
        <v>4.3073300000000002E-2</v>
      </c>
    </row>
    <row r="1321" spans="19:26" ht="16" x14ac:dyDescent="0.2">
      <c r="S1321" s="23">
        <v>44053</v>
      </c>
      <c r="T1321" s="22">
        <v>26.9400005</v>
      </c>
      <c r="U1321" s="22">
        <v>27.0699997</v>
      </c>
      <c r="V1321" s="22">
        <v>26.530000699999999</v>
      </c>
      <c r="W1321" s="22">
        <v>26.729999500000002</v>
      </c>
      <c r="X1321" s="22">
        <v>21.642990099999999</v>
      </c>
      <c r="Y1321" s="22">
        <v>840500</v>
      </c>
      <c r="Z1321" s="22">
        <v>-5.5805000000000004E-3</v>
      </c>
    </row>
    <row r="1322" spans="19:26" ht="16" x14ac:dyDescent="0.2">
      <c r="S1322" s="23">
        <v>44054</v>
      </c>
      <c r="T1322" s="22">
        <v>26.829999900000001</v>
      </c>
      <c r="U1322" s="22">
        <v>27.1200008</v>
      </c>
      <c r="V1322" s="22">
        <v>26.350000399999999</v>
      </c>
      <c r="W1322" s="22">
        <v>26.5</v>
      </c>
      <c r="X1322" s="22">
        <v>21.456766099999999</v>
      </c>
      <c r="Y1322" s="22">
        <v>745700</v>
      </c>
      <c r="Z1322" s="22">
        <v>-8.6043999999999999E-3</v>
      </c>
    </row>
    <row r="1323" spans="19:26" ht="16" x14ac:dyDescent="0.2">
      <c r="S1323" s="23">
        <v>44055</v>
      </c>
      <c r="T1323" s="22">
        <v>26.6200008</v>
      </c>
      <c r="U1323" s="22">
        <v>27.0599995</v>
      </c>
      <c r="V1323" s="22">
        <v>26.540000899999999</v>
      </c>
      <c r="W1323" s="22">
        <v>26.610000599999999</v>
      </c>
      <c r="X1323" s="22">
        <v>21.545831700000001</v>
      </c>
      <c r="Y1323" s="22">
        <v>496000</v>
      </c>
      <c r="Z1323" s="22">
        <v>4.1509299999999997E-3</v>
      </c>
    </row>
    <row r="1324" spans="19:26" ht="16" x14ac:dyDescent="0.2">
      <c r="S1324" s="23">
        <v>44056</v>
      </c>
      <c r="T1324" s="22">
        <v>26.5699997</v>
      </c>
      <c r="U1324" s="22">
        <v>26.8099995</v>
      </c>
      <c r="V1324" s="22">
        <v>26.389999400000001</v>
      </c>
      <c r="W1324" s="22">
        <v>26.479999500000002</v>
      </c>
      <c r="X1324" s="22">
        <v>21.440572700000001</v>
      </c>
      <c r="Y1324" s="22">
        <v>506000</v>
      </c>
      <c r="Z1324" s="22">
        <v>-4.8853999999999998E-3</v>
      </c>
    </row>
    <row r="1325" spans="19:26" ht="16" x14ac:dyDescent="0.2">
      <c r="S1325" s="23">
        <v>44057</v>
      </c>
      <c r="T1325" s="22">
        <v>26.549999199999998</v>
      </c>
      <c r="U1325" s="22">
        <v>26.6800003</v>
      </c>
      <c r="V1325" s="22">
        <v>26.139999400000001</v>
      </c>
      <c r="W1325" s="22">
        <v>26.2399998</v>
      </c>
      <c r="X1325" s="22">
        <v>21.246244399999998</v>
      </c>
      <c r="Y1325" s="22">
        <v>447400</v>
      </c>
      <c r="Z1325" s="22">
        <v>-9.0635999999999998E-3</v>
      </c>
    </row>
    <row r="1326" spans="19:26" ht="16" x14ac:dyDescent="0.2">
      <c r="S1326" s="23">
        <v>44060</v>
      </c>
      <c r="T1326" s="22">
        <v>26.209999100000001</v>
      </c>
      <c r="U1326" s="22">
        <v>26.420000099999999</v>
      </c>
      <c r="V1326" s="22">
        <v>25.959999100000001</v>
      </c>
      <c r="W1326" s="22">
        <v>26.1200008</v>
      </c>
      <c r="X1326" s="22">
        <v>21.149080300000001</v>
      </c>
      <c r="Y1326" s="22">
        <v>622500</v>
      </c>
      <c r="Z1326" s="22">
        <v>-4.5732000000000004E-3</v>
      </c>
    </row>
    <row r="1327" spans="19:26" ht="16" x14ac:dyDescent="0.2">
      <c r="S1327" s="23">
        <v>44061</v>
      </c>
      <c r="T1327" s="22">
        <v>26.170000099999999</v>
      </c>
      <c r="U1327" s="22">
        <v>26.299999199999998</v>
      </c>
      <c r="V1327" s="22">
        <v>25.6200008</v>
      </c>
      <c r="W1327" s="22">
        <v>26.090000199999999</v>
      </c>
      <c r="X1327" s="22">
        <v>21.124794000000001</v>
      </c>
      <c r="Y1327" s="22">
        <v>565800</v>
      </c>
      <c r="Z1327" s="22">
        <v>-1.1483000000000001E-3</v>
      </c>
    </row>
    <row r="1328" spans="19:26" ht="16" x14ac:dyDescent="0.2">
      <c r="S1328" s="23">
        <v>44062</v>
      </c>
      <c r="T1328" s="22">
        <v>26.049999199999998</v>
      </c>
      <c r="U1328" s="22">
        <v>26.3799992</v>
      </c>
      <c r="V1328" s="22">
        <v>25.920000099999999</v>
      </c>
      <c r="W1328" s="22">
        <v>25.9899998</v>
      </c>
      <c r="X1328" s="22">
        <v>21.043823199999999</v>
      </c>
      <c r="Y1328" s="22">
        <v>546100</v>
      </c>
      <c r="Z1328" s="22">
        <v>-3.833E-3</v>
      </c>
    </row>
    <row r="1329" spans="19:26" ht="16" x14ac:dyDescent="0.2">
      <c r="S1329" s="23">
        <v>44063</v>
      </c>
      <c r="T1329" s="22">
        <v>25.850000399999999</v>
      </c>
      <c r="U1329" s="22">
        <v>26.040000899999999</v>
      </c>
      <c r="V1329" s="22">
        <v>25.549999199999998</v>
      </c>
      <c r="W1329" s="22">
        <v>25.7399998</v>
      </c>
      <c r="X1329" s="22">
        <v>20.841400100000001</v>
      </c>
      <c r="Y1329" s="22">
        <v>476300</v>
      </c>
      <c r="Z1329" s="22">
        <v>-9.6191000000000002E-3</v>
      </c>
    </row>
    <row r="1330" spans="19:26" ht="16" x14ac:dyDescent="0.2">
      <c r="S1330" s="23">
        <v>44064</v>
      </c>
      <c r="T1330" s="22">
        <v>25.639999400000001</v>
      </c>
      <c r="U1330" s="22">
        <v>25.860000599999999</v>
      </c>
      <c r="V1330" s="22">
        <v>25.4300003</v>
      </c>
      <c r="W1330" s="22">
        <v>25.770000499999998</v>
      </c>
      <c r="X1330" s="22">
        <v>20.8656921</v>
      </c>
      <c r="Y1330" s="22">
        <v>971400</v>
      </c>
      <c r="Z1330" s="22">
        <v>1.1655599999999999E-3</v>
      </c>
    </row>
    <row r="1331" spans="19:26" ht="16" x14ac:dyDescent="0.2">
      <c r="S1331" s="23">
        <v>44067</v>
      </c>
      <c r="T1331" s="22">
        <v>25.969999300000001</v>
      </c>
      <c r="U1331" s="22">
        <v>25.969999300000001</v>
      </c>
      <c r="V1331" s="22">
        <v>25.5599995</v>
      </c>
      <c r="W1331" s="22">
        <v>25.75</v>
      </c>
      <c r="X1331" s="22">
        <v>20.849498700000002</v>
      </c>
      <c r="Y1331" s="22">
        <v>543500</v>
      </c>
      <c r="Z1331" s="22">
        <v>-7.7610000000000005E-4</v>
      </c>
    </row>
    <row r="1332" spans="19:26" ht="16" x14ac:dyDescent="0.2">
      <c r="S1332" s="23">
        <v>44068</v>
      </c>
      <c r="T1332" s="22">
        <v>25.909999800000001</v>
      </c>
      <c r="U1332" s="22">
        <v>25.9400005</v>
      </c>
      <c r="V1332" s="22">
        <v>25.469999300000001</v>
      </c>
      <c r="W1332" s="22">
        <v>25.579999900000001</v>
      </c>
      <c r="X1332" s="22">
        <v>20.7118492</v>
      </c>
      <c r="Y1332" s="22">
        <v>847200</v>
      </c>
      <c r="Z1332" s="22">
        <v>-6.6020999999999996E-3</v>
      </c>
    </row>
    <row r="1333" spans="19:26" ht="16" x14ac:dyDescent="0.2">
      <c r="S1333" s="23">
        <v>44069</v>
      </c>
      <c r="T1333" s="22">
        <v>25.5699997</v>
      </c>
      <c r="U1333" s="22">
        <v>25.5699997</v>
      </c>
      <c r="V1333" s="22">
        <v>25.159999800000001</v>
      </c>
      <c r="W1333" s="22">
        <v>25.3199997</v>
      </c>
      <c r="X1333" s="22">
        <v>20.501333200000001</v>
      </c>
      <c r="Y1333" s="22">
        <v>342400</v>
      </c>
      <c r="Z1333" s="22">
        <v>-1.0163999999999999E-2</v>
      </c>
    </row>
    <row r="1334" spans="19:26" ht="16" x14ac:dyDescent="0.2">
      <c r="S1334" s="23">
        <v>44070</v>
      </c>
      <c r="T1334" s="22">
        <v>25.450000800000002</v>
      </c>
      <c r="U1334" s="22">
        <v>26.100000399999999</v>
      </c>
      <c r="V1334" s="22">
        <v>25.450000800000002</v>
      </c>
      <c r="W1334" s="22">
        <v>26.020000499999998</v>
      </c>
      <c r="X1334" s="22">
        <v>21.068115200000001</v>
      </c>
      <c r="Y1334" s="22">
        <v>383200</v>
      </c>
      <c r="Z1334" s="22">
        <v>2.76461E-2</v>
      </c>
    </row>
    <row r="1335" spans="19:26" ht="16" x14ac:dyDescent="0.2">
      <c r="S1335" s="23">
        <v>44071</v>
      </c>
      <c r="T1335" s="22">
        <v>26.040000899999999</v>
      </c>
      <c r="U1335" s="22">
        <v>26.149999600000001</v>
      </c>
      <c r="V1335" s="22">
        <v>25.469999300000001</v>
      </c>
      <c r="W1335" s="22">
        <v>25.610000599999999</v>
      </c>
      <c r="X1335" s="22">
        <v>20.736141199999999</v>
      </c>
      <c r="Y1335" s="22">
        <v>556500</v>
      </c>
      <c r="Z1335" s="22">
        <v>-1.5757199999999999E-2</v>
      </c>
    </row>
    <row r="1336" spans="19:26" ht="16" x14ac:dyDescent="0.2">
      <c r="S1336" s="23">
        <v>44074</v>
      </c>
      <c r="T1336" s="22">
        <v>25.4300003</v>
      </c>
      <c r="U1336" s="22">
        <v>25.829999900000001</v>
      </c>
      <c r="V1336" s="22">
        <v>25.4300003</v>
      </c>
      <c r="W1336" s="22">
        <v>25.5100002</v>
      </c>
      <c r="X1336" s="22">
        <v>20.910737999999998</v>
      </c>
      <c r="Y1336" s="22">
        <v>555000</v>
      </c>
      <c r="Z1336" s="22">
        <v>8.4199300000000008E-3</v>
      </c>
    </row>
    <row r="1337" spans="19:26" ht="16" x14ac:dyDescent="0.2">
      <c r="S1337" s="23">
        <v>44075</v>
      </c>
      <c r="T1337" s="22">
        <v>25.360000599999999</v>
      </c>
      <c r="U1337" s="22">
        <v>25.4300003</v>
      </c>
      <c r="V1337" s="22">
        <v>24.6900005</v>
      </c>
      <c r="W1337" s="22">
        <v>24.969999300000001</v>
      </c>
      <c r="X1337" s="22">
        <v>20.4680958</v>
      </c>
      <c r="Y1337" s="22">
        <v>482200</v>
      </c>
      <c r="Z1337" s="22">
        <v>-2.1168200000000002E-2</v>
      </c>
    </row>
    <row r="1338" spans="19:26" ht="16" x14ac:dyDescent="0.2">
      <c r="S1338" s="23">
        <v>44076</v>
      </c>
      <c r="T1338" s="22">
        <v>24.9300003</v>
      </c>
      <c r="U1338" s="22">
        <v>25.2600002</v>
      </c>
      <c r="V1338" s="22">
        <v>24.8700008</v>
      </c>
      <c r="W1338" s="22">
        <v>25.1900005</v>
      </c>
      <c r="X1338" s="22">
        <v>20.648435599999999</v>
      </c>
      <c r="Y1338" s="22">
        <v>466200</v>
      </c>
      <c r="Z1338" s="22">
        <v>8.8107800000000007E-3</v>
      </c>
    </row>
    <row r="1339" spans="19:26" ht="16" x14ac:dyDescent="0.2">
      <c r="S1339" s="23">
        <v>44077</v>
      </c>
      <c r="T1339" s="22">
        <v>25.110000599999999</v>
      </c>
      <c r="U1339" s="22">
        <v>25.200000800000002</v>
      </c>
      <c r="V1339" s="22">
        <v>24.209999100000001</v>
      </c>
      <c r="W1339" s="22">
        <v>24.3799992</v>
      </c>
      <c r="X1339" s="22">
        <v>19.984468499999998</v>
      </c>
      <c r="Y1339" s="22">
        <v>394100</v>
      </c>
      <c r="Z1339" s="22">
        <v>-3.2155799999999998E-2</v>
      </c>
    </row>
    <row r="1340" spans="19:26" ht="16" x14ac:dyDescent="0.2">
      <c r="S1340" s="23">
        <v>44078</v>
      </c>
      <c r="T1340" s="22">
        <v>24.3799992</v>
      </c>
      <c r="U1340" s="22">
        <v>24.399999600000001</v>
      </c>
      <c r="V1340" s="22">
        <v>23.329999900000001</v>
      </c>
      <c r="W1340" s="22">
        <v>23.899999600000001</v>
      </c>
      <c r="X1340" s="22">
        <v>19.591013</v>
      </c>
      <c r="Y1340" s="22">
        <v>389700</v>
      </c>
      <c r="Z1340" s="22">
        <v>-1.96881E-2</v>
      </c>
    </row>
    <row r="1341" spans="19:26" ht="16" x14ac:dyDescent="0.2">
      <c r="S1341" s="23">
        <v>44082</v>
      </c>
      <c r="T1341" s="22">
        <v>24.040000899999999</v>
      </c>
      <c r="U1341" s="22">
        <v>24.100000399999999</v>
      </c>
      <c r="V1341" s="22">
        <v>23.329999900000001</v>
      </c>
      <c r="W1341" s="22">
        <v>23.329999900000001</v>
      </c>
      <c r="X1341" s="22">
        <v>19.123777400000002</v>
      </c>
      <c r="Y1341" s="22">
        <v>343400</v>
      </c>
      <c r="Z1341" s="22">
        <v>-2.3849499999999999E-2</v>
      </c>
    </row>
    <row r="1342" spans="19:26" ht="16" x14ac:dyDescent="0.2">
      <c r="S1342" s="23">
        <v>44083</v>
      </c>
      <c r="T1342" s="22">
        <v>23.409999800000001</v>
      </c>
      <c r="U1342" s="22">
        <v>23.770000499999998</v>
      </c>
      <c r="V1342" s="22">
        <v>23.2600002</v>
      </c>
      <c r="W1342" s="22">
        <v>23.5599995</v>
      </c>
      <c r="X1342" s="22">
        <v>19.312303499999999</v>
      </c>
      <c r="Y1342" s="22">
        <v>277300</v>
      </c>
      <c r="Z1342" s="22">
        <v>9.8582099999999992E-3</v>
      </c>
    </row>
    <row r="1343" spans="19:26" ht="16" x14ac:dyDescent="0.2">
      <c r="S1343" s="23">
        <v>44084</v>
      </c>
      <c r="T1343" s="22">
        <v>23.549999199999998</v>
      </c>
      <c r="U1343" s="22">
        <v>23.5699997</v>
      </c>
      <c r="V1343" s="22">
        <v>23.049999199999998</v>
      </c>
      <c r="W1343" s="22">
        <v>23.0699997</v>
      </c>
      <c r="X1343" s="22">
        <v>18.9106503</v>
      </c>
      <c r="Y1343" s="22">
        <v>290400</v>
      </c>
      <c r="Z1343" s="22">
        <v>-2.0797800000000002E-2</v>
      </c>
    </row>
    <row r="1344" spans="19:26" ht="16" x14ac:dyDescent="0.2">
      <c r="S1344" s="23">
        <v>44085</v>
      </c>
      <c r="T1344" s="22">
        <v>23.1299992</v>
      </c>
      <c r="U1344" s="22">
        <v>23.209999100000001</v>
      </c>
      <c r="V1344" s="22">
        <v>22.6900005</v>
      </c>
      <c r="W1344" s="22">
        <v>23.159999800000001</v>
      </c>
      <c r="X1344" s="22">
        <v>18.984426500000001</v>
      </c>
      <c r="Y1344" s="22">
        <v>640400</v>
      </c>
      <c r="Z1344" s="22">
        <v>3.9013099999999998E-3</v>
      </c>
    </row>
    <row r="1345" spans="19:26" ht="16" x14ac:dyDescent="0.2">
      <c r="S1345" s="23">
        <v>44088</v>
      </c>
      <c r="T1345" s="22">
        <v>23.409999800000001</v>
      </c>
      <c r="U1345" s="22">
        <v>24.4899998</v>
      </c>
      <c r="V1345" s="22">
        <v>23.299999199999998</v>
      </c>
      <c r="W1345" s="22">
        <v>24.469999300000001</v>
      </c>
      <c r="X1345" s="22">
        <v>20.058244699999999</v>
      </c>
      <c r="Y1345" s="22">
        <v>732900</v>
      </c>
      <c r="Z1345" s="22">
        <v>5.656311E-2</v>
      </c>
    </row>
    <row r="1346" spans="19:26" ht="16" x14ac:dyDescent="0.2">
      <c r="S1346" s="23">
        <v>44089</v>
      </c>
      <c r="T1346" s="22">
        <v>24.5699997</v>
      </c>
      <c r="U1346" s="22">
        <v>25.209999100000001</v>
      </c>
      <c r="V1346" s="22">
        <v>24.5699997</v>
      </c>
      <c r="W1346" s="22">
        <v>24.75</v>
      </c>
      <c r="X1346" s="22">
        <v>20.287761700000001</v>
      </c>
      <c r="Y1346" s="22">
        <v>644400</v>
      </c>
      <c r="Z1346" s="22">
        <v>1.1442529999999999E-2</v>
      </c>
    </row>
    <row r="1347" spans="19:26" ht="16" x14ac:dyDescent="0.2">
      <c r="S1347" s="23">
        <v>44090</v>
      </c>
      <c r="T1347" s="22">
        <v>24.7600002</v>
      </c>
      <c r="U1347" s="22">
        <v>26.110000599999999</v>
      </c>
      <c r="V1347" s="22">
        <v>24.7399998</v>
      </c>
      <c r="W1347" s="22">
        <v>25.700000800000002</v>
      </c>
      <c r="X1347" s="22">
        <v>21.0664883</v>
      </c>
      <c r="Y1347" s="22">
        <v>1089200</v>
      </c>
      <c r="Z1347" s="22">
        <v>3.8384059999999998E-2</v>
      </c>
    </row>
    <row r="1348" spans="19:26" ht="16" x14ac:dyDescent="0.2">
      <c r="S1348" s="23">
        <v>44091</v>
      </c>
      <c r="T1348" s="22">
        <v>25.5699997</v>
      </c>
      <c r="U1348" s="22">
        <v>26.030000699999999</v>
      </c>
      <c r="V1348" s="22">
        <v>25.25</v>
      </c>
      <c r="W1348" s="22">
        <v>25.659999800000001</v>
      </c>
      <c r="X1348" s="22">
        <v>21.033693299999999</v>
      </c>
      <c r="Y1348" s="22">
        <v>886900</v>
      </c>
      <c r="Z1348" s="22">
        <v>-1.5567000000000001E-3</v>
      </c>
    </row>
    <row r="1349" spans="19:26" ht="16" x14ac:dyDescent="0.2">
      <c r="S1349" s="23">
        <v>44092</v>
      </c>
      <c r="T1349" s="22">
        <v>25.899999600000001</v>
      </c>
      <c r="U1349" s="22">
        <v>25.920000099999999</v>
      </c>
      <c r="V1349" s="22">
        <v>25.229999500000002</v>
      </c>
      <c r="W1349" s="22">
        <v>25.780000699999999</v>
      </c>
      <c r="X1349" s="22">
        <v>21.132062900000001</v>
      </c>
      <c r="Y1349" s="22">
        <v>2822600</v>
      </c>
      <c r="Z1349" s="22">
        <v>4.6767600000000003E-3</v>
      </c>
    </row>
    <row r="1350" spans="19:26" ht="16" x14ac:dyDescent="0.2">
      <c r="S1350" s="23">
        <v>44095</v>
      </c>
      <c r="T1350" s="22">
        <v>25.5599995</v>
      </c>
      <c r="U1350" s="22">
        <v>25.590000199999999</v>
      </c>
      <c r="V1350" s="22">
        <v>24.280000699999999</v>
      </c>
      <c r="W1350" s="22">
        <v>24.649999600000001</v>
      </c>
      <c r="X1350" s="22">
        <v>20.205789599999999</v>
      </c>
      <c r="Y1350" s="22">
        <v>918800</v>
      </c>
      <c r="Z1350" s="22">
        <v>-4.3832599999999999E-2</v>
      </c>
    </row>
    <row r="1351" spans="19:26" ht="16" x14ac:dyDescent="0.2">
      <c r="S1351" s="23">
        <v>44096</v>
      </c>
      <c r="T1351" s="22">
        <v>24.6299992</v>
      </c>
      <c r="U1351" s="22">
        <v>24.979999500000002</v>
      </c>
      <c r="V1351" s="22">
        <v>24.540000899999999</v>
      </c>
      <c r="W1351" s="22">
        <v>24.860000599999999</v>
      </c>
      <c r="X1351" s="22">
        <v>20.377927799999998</v>
      </c>
      <c r="Y1351" s="22">
        <v>521200</v>
      </c>
      <c r="Z1351" s="22">
        <v>8.5192500000000008E-3</v>
      </c>
    </row>
    <row r="1352" spans="19:26" ht="16" x14ac:dyDescent="0.2">
      <c r="S1352" s="23">
        <v>44097</v>
      </c>
      <c r="T1352" s="22">
        <v>24.770000499999998</v>
      </c>
      <c r="U1352" s="22">
        <v>25.0599995</v>
      </c>
      <c r="V1352" s="22">
        <v>24.340000199999999</v>
      </c>
      <c r="W1352" s="22">
        <v>24.3700008</v>
      </c>
      <c r="X1352" s="22">
        <v>19.976274499999999</v>
      </c>
      <c r="Y1352" s="22">
        <v>416100</v>
      </c>
      <c r="Z1352" s="22">
        <v>-1.9710200000000001E-2</v>
      </c>
    </row>
    <row r="1353" spans="19:26" ht="16" x14ac:dyDescent="0.2">
      <c r="S1353" s="23">
        <v>44098</v>
      </c>
      <c r="T1353" s="22">
        <v>24.389999400000001</v>
      </c>
      <c r="U1353" s="22">
        <v>24.4400005</v>
      </c>
      <c r="V1353" s="22">
        <v>23.9400005</v>
      </c>
      <c r="W1353" s="22">
        <v>24.270000499999998</v>
      </c>
      <c r="X1353" s="22">
        <v>19.894304300000002</v>
      </c>
      <c r="Y1353" s="22">
        <v>499900</v>
      </c>
      <c r="Z1353" s="22">
        <v>-4.1034000000000001E-3</v>
      </c>
    </row>
    <row r="1354" spans="19:26" ht="16" x14ac:dyDescent="0.2">
      <c r="S1354" s="23">
        <v>44099</v>
      </c>
      <c r="T1354" s="22">
        <v>24.0599995</v>
      </c>
      <c r="U1354" s="22">
        <v>24.889999400000001</v>
      </c>
      <c r="V1354" s="22">
        <v>24.0599995</v>
      </c>
      <c r="W1354" s="22">
        <v>24.850000399999999</v>
      </c>
      <c r="X1354" s="22">
        <v>20.369733799999999</v>
      </c>
      <c r="Y1354" s="22">
        <v>372700</v>
      </c>
      <c r="Z1354" s="22">
        <v>2.3897769999999999E-2</v>
      </c>
    </row>
    <row r="1355" spans="19:26" ht="16" x14ac:dyDescent="0.2">
      <c r="S1355" s="23">
        <v>44102</v>
      </c>
      <c r="T1355" s="22">
        <v>25</v>
      </c>
      <c r="U1355" s="22">
        <v>25.1299992</v>
      </c>
      <c r="V1355" s="22">
        <v>24.7399998</v>
      </c>
      <c r="W1355" s="22">
        <v>24.8799992</v>
      </c>
      <c r="X1355" s="22">
        <v>20.394325299999998</v>
      </c>
      <c r="Y1355" s="22">
        <v>356000</v>
      </c>
      <c r="Z1355" s="22">
        <v>1.20725E-3</v>
      </c>
    </row>
    <row r="1356" spans="19:26" ht="16" x14ac:dyDescent="0.2">
      <c r="S1356" s="23">
        <v>44103</v>
      </c>
      <c r="T1356" s="22">
        <v>24.9899998</v>
      </c>
      <c r="U1356" s="22">
        <v>25.790000899999999</v>
      </c>
      <c r="V1356" s="22">
        <v>24.860000599999999</v>
      </c>
      <c r="W1356" s="22">
        <v>25.770000499999998</v>
      </c>
      <c r="X1356" s="22">
        <v>21.1238651</v>
      </c>
      <c r="Y1356" s="22">
        <v>497500</v>
      </c>
      <c r="Z1356" s="22">
        <v>3.5771709999999998E-2</v>
      </c>
    </row>
    <row r="1357" spans="19:26" ht="16" x14ac:dyDescent="0.2">
      <c r="S1357" s="23">
        <v>44104</v>
      </c>
      <c r="T1357" s="22">
        <v>25.950000800000002</v>
      </c>
      <c r="U1357" s="22">
        <v>27.1200008</v>
      </c>
      <c r="V1357" s="22">
        <v>25.899999600000001</v>
      </c>
      <c r="W1357" s="22">
        <v>26.959999100000001</v>
      </c>
      <c r="X1357" s="22">
        <v>22.099315600000001</v>
      </c>
      <c r="Y1357" s="22">
        <v>1069400</v>
      </c>
      <c r="Z1357" s="22">
        <v>4.6177650000000001E-2</v>
      </c>
    </row>
    <row r="1358" spans="19:26" ht="16" x14ac:dyDescent="0.2">
      <c r="S1358" s="23">
        <v>44105</v>
      </c>
      <c r="T1358" s="22">
        <v>27.170000099999999</v>
      </c>
      <c r="U1358" s="22">
        <v>27.270000499999998</v>
      </c>
      <c r="V1358" s="22">
        <v>26.6800003</v>
      </c>
      <c r="W1358" s="22">
        <v>27.170000099999999</v>
      </c>
      <c r="X1358" s="22">
        <v>22.271452</v>
      </c>
      <c r="Y1358" s="22">
        <v>717300</v>
      </c>
      <c r="Z1358" s="22">
        <v>7.7892100000000004E-3</v>
      </c>
    </row>
    <row r="1359" spans="19:26" ht="16" x14ac:dyDescent="0.2">
      <c r="S1359" s="23">
        <v>44106</v>
      </c>
      <c r="T1359" s="22">
        <v>26.729999500000002</v>
      </c>
      <c r="U1359" s="22">
        <v>27.729999500000002</v>
      </c>
      <c r="V1359" s="22">
        <v>26.6900005</v>
      </c>
      <c r="W1359" s="22">
        <v>27.5699997</v>
      </c>
      <c r="X1359" s="22">
        <v>22.599338500000002</v>
      </c>
      <c r="Y1359" s="22">
        <v>670500</v>
      </c>
      <c r="Z1359" s="22">
        <v>1.4722280000000001E-2</v>
      </c>
    </row>
    <row r="1360" spans="19:26" ht="16" x14ac:dyDescent="0.2">
      <c r="S1360" s="23">
        <v>44109</v>
      </c>
      <c r="T1360" s="22">
        <v>27.790000899999999</v>
      </c>
      <c r="U1360" s="22">
        <v>28.799999199999998</v>
      </c>
      <c r="V1360" s="22">
        <v>27.770000499999998</v>
      </c>
      <c r="W1360" s="22">
        <v>28.780000699999999</v>
      </c>
      <c r="X1360" s="22">
        <v>23.5911808</v>
      </c>
      <c r="Y1360" s="22">
        <v>794800</v>
      </c>
      <c r="Z1360" s="22">
        <v>4.3888110000000001E-2</v>
      </c>
    </row>
    <row r="1361" spans="19:26" ht="16" x14ac:dyDescent="0.2">
      <c r="S1361" s="23">
        <v>44110</v>
      </c>
      <c r="T1361" s="22">
        <v>28.9400005</v>
      </c>
      <c r="U1361" s="22">
        <v>30.6200008</v>
      </c>
      <c r="V1361" s="22">
        <v>28.909999800000001</v>
      </c>
      <c r="W1361" s="22">
        <v>29.6900005</v>
      </c>
      <c r="X1361" s="22">
        <v>24.3371143</v>
      </c>
      <c r="Y1361" s="22">
        <v>1421000</v>
      </c>
      <c r="Z1361" s="22">
        <v>3.1619170000000002E-2</v>
      </c>
    </row>
    <row r="1362" spans="19:26" ht="16" x14ac:dyDescent="0.2">
      <c r="S1362" s="23">
        <v>44111</v>
      </c>
      <c r="T1362" s="22">
        <v>29.8199997</v>
      </c>
      <c r="U1362" s="22">
        <v>30.3799992</v>
      </c>
      <c r="V1362" s="22">
        <v>29.5</v>
      </c>
      <c r="W1362" s="22">
        <v>29.9300003</v>
      </c>
      <c r="X1362" s="22">
        <v>24.533843999999998</v>
      </c>
      <c r="Y1362" s="22">
        <v>1257200</v>
      </c>
      <c r="Z1362" s="22">
        <v>8.0835200000000003E-3</v>
      </c>
    </row>
    <row r="1363" spans="19:26" ht="16" x14ac:dyDescent="0.2">
      <c r="S1363" s="23">
        <v>44112</v>
      </c>
      <c r="T1363" s="22">
        <v>30.290000899999999</v>
      </c>
      <c r="U1363" s="22">
        <v>30.790000899999999</v>
      </c>
      <c r="V1363" s="22">
        <v>29.959999100000001</v>
      </c>
      <c r="W1363" s="22">
        <v>30.7600002</v>
      </c>
      <c r="X1363" s="22">
        <v>25.2142029</v>
      </c>
      <c r="Y1363" s="22">
        <v>544300</v>
      </c>
      <c r="Z1363" s="22">
        <v>2.773144E-2</v>
      </c>
    </row>
    <row r="1364" spans="19:26" ht="16" x14ac:dyDescent="0.2">
      <c r="S1364" s="23">
        <v>44113</v>
      </c>
      <c r="T1364" s="22">
        <v>30.9300003</v>
      </c>
      <c r="U1364" s="22">
        <v>31</v>
      </c>
      <c r="V1364" s="22">
        <v>30.3199997</v>
      </c>
      <c r="W1364" s="22">
        <v>30.7399998</v>
      </c>
      <c r="X1364" s="22">
        <v>25.197809199999998</v>
      </c>
      <c r="Y1364" s="22">
        <v>553900</v>
      </c>
      <c r="Z1364" s="22">
        <v>-6.5019999999999998E-4</v>
      </c>
    </row>
    <row r="1365" spans="19:26" ht="16" x14ac:dyDescent="0.2">
      <c r="S1365" s="23">
        <v>44116</v>
      </c>
      <c r="T1365" s="22">
        <v>30.790000899999999</v>
      </c>
      <c r="U1365" s="22">
        <v>30.950000800000002</v>
      </c>
      <c r="V1365" s="22">
        <v>29.719999300000001</v>
      </c>
      <c r="W1365" s="22">
        <v>29.979999500000002</v>
      </c>
      <c r="X1365" s="22">
        <v>24.574831</v>
      </c>
      <c r="Y1365" s="22">
        <v>744000</v>
      </c>
      <c r="Z1365" s="22">
        <v>-2.4723499999999999E-2</v>
      </c>
    </row>
    <row r="1366" spans="19:26" ht="16" x14ac:dyDescent="0.2">
      <c r="S1366" s="23">
        <v>44117</v>
      </c>
      <c r="T1366" s="22">
        <v>29.790000899999999</v>
      </c>
      <c r="U1366" s="22">
        <v>29.8700008</v>
      </c>
      <c r="V1366" s="22">
        <v>29.389999400000001</v>
      </c>
      <c r="W1366" s="22">
        <v>29.540000899999999</v>
      </c>
      <c r="X1366" s="22">
        <v>24.2141609</v>
      </c>
      <c r="Y1366" s="22">
        <v>586600</v>
      </c>
      <c r="Z1366" s="22">
        <v>-1.4676399999999999E-2</v>
      </c>
    </row>
    <row r="1367" spans="19:26" ht="16" x14ac:dyDescent="0.2">
      <c r="S1367" s="23">
        <v>44118</v>
      </c>
      <c r="T1367" s="22">
        <v>29.659999800000001</v>
      </c>
      <c r="U1367" s="22">
        <v>29.969999300000001</v>
      </c>
      <c r="V1367" s="22">
        <v>29.3099995</v>
      </c>
      <c r="W1367" s="22">
        <v>29.540000899999999</v>
      </c>
      <c r="X1367" s="22">
        <v>24.2141609</v>
      </c>
      <c r="Y1367" s="22">
        <v>470900</v>
      </c>
      <c r="Z1367" s="22">
        <v>0</v>
      </c>
    </row>
    <row r="1368" spans="19:26" ht="16" x14ac:dyDescent="0.2">
      <c r="S1368" s="23">
        <v>44119</v>
      </c>
      <c r="T1368" s="22">
        <v>29.1299992</v>
      </c>
      <c r="U1368" s="22">
        <v>29.920000099999999</v>
      </c>
      <c r="V1368" s="22">
        <v>29.0599995</v>
      </c>
      <c r="W1368" s="22">
        <v>29.709999100000001</v>
      </c>
      <c r="X1368" s="22">
        <v>24.353513700000001</v>
      </c>
      <c r="Y1368" s="22">
        <v>541300</v>
      </c>
      <c r="Z1368" s="22">
        <v>5.7550099999999996E-3</v>
      </c>
    </row>
    <row r="1369" spans="19:26" ht="16" x14ac:dyDescent="0.2">
      <c r="S1369" s="23">
        <v>44120</v>
      </c>
      <c r="T1369" s="22">
        <v>29.8700008</v>
      </c>
      <c r="U1369" s="22">
        <v>30.1299992</v>
      </c>
      <c r="V1369" s="22">
        <v>29.5599995</v>
      </c>
      <c r="W1369" s="22">
        <v>29.670000099999999</v>
      </c>
      <c r="X1369" s="22">
        <v>24.3207226</v>
      </c>
      <c r="Y1369" s="22">
        <v>878700</v>
      </c>
      <c r="Z1369" s="22">
        <v>-1.3465E-3</v>
      </c>
    </row>
    <row r="1370" spans="19:26" ht="16" x14ac:dyDescent="0.2">
      <c r="S1370" s="23">
        <v>44123</v>
      </c>
      <c r="T1370" s="22">
        <v>29.8199997</v>
      </c>
      <c r="U1370" s="22">
        <v>29.850000399999999</v>
      </c>
      <c r="V1370" s="22">
        <v>29.2399998</v>
      </c>
      <c r="W1370" s="22">
        <v>29.25</v>
      </c>
      <c r="X1370" s="22">
        <v>23.976446200000002</v>
      </c>
      <c r="Y1370" s="22">
        <v>989800</v>
      </c>
      <c r="Z1370" s="22">
        <v>-1.41557E-2</v>
      </c>
    </row>
    <row r="1371" spans="19:26" ht="16" x14ac:dyDescent="0.2">
      <c r="S1371" s="23">
        <v>44124</v>
      </c>
      <c r="T1371" s="22">
        <v>29.530000699999999</v>
      </c>
      <c r="U1371" s="22">
        <v>30.100000399999999</v>
      </c>
      <c r="V1371" s="22">
        <v>29.399999600000001</v>
      </c>
      <c r="W1371" s="22">
        <v>30.040000899999999</v>
      </c>
      <c r="X1371" s="22">
        <v>24.6240177</v>
      </c>
      <c r="Y1371" s="22">
        <v>1178600</v>
      </c>
      <c r="Z1371" s="22">
        <v>2.700866E-2</v>
      </c>
    </row>
    <row r="1372" spans="19:26" ht="16" x14ac:dyDescent="0.2">
      <c r="S1372" s="23">
        <v>44125</v>
      </c>
      <c r="T1372" s="22">
        <v>30.100000399999999</v>
      </c>
      <c r="U1372" s="22">
        <v>30.540000899999999</v>
      </c>
      <c r="V1372" s="22">
        <v>29.290000899999999</v>
      </c>
      <c r="W1372" s="22">
        <v>29.360000599999999</v>
      </c>
      <c r="X1372" s="22">
        <v>24.0666142</v>
      </c>
      <c r="Y1372" s="22">
        <v>549000</v>
      </c>
      <c r="Z1372" s="22">
        <v>-2.26366E-2</v>
      </c>
    </row>
    <row r="1373" spans="19:26" ht="16" x14ac:dyDescent="0.2">
      <c r="S1373" s="23">
        <v>44126</v>
      </c>
      <c r="T1373" s="22">
        <v>29.270000499999998</v>
      </c>
      <c r="U1373" s="22">
        <v>29.659999800000001</v>
      </c>
      <c r="V1373" s="22">
        <v>29.100000399999999</v>
      </c>
      <c r="W1373" s="22">
        <v>29.4400005</v>
      </c>
      <c r="X1373" s="22">
        <v>24.132190699999999</v>
      </c>
      <c r="Y1373" s="22">
        <v>993400</v>
      </c>
      <c r="Z1373" s="22">
        <v>2.7247899999999999E-3</v>
      </c>
    </row>
    <row r="1374" spans="19:26" ht="16" x14ac:dyDescent="0.2">
      <c r="S1374" s="23">
        <v>44127</v>
      </c>
      <c r="T1374" s="22">
        <v>29.5</v>
      </c>
      <c r="U1374" s="22">
        <v>29.979999500000002</v>
      </c>
      <c r="V1374" s="22">
        <v>29.219999300000001</v>
      </c>
      <c r="W1374" s="22">
        <v>29.9300003</v>
      </c>
      <c r="X1374" s="22">
        <v>24.533843999999998</v>
      </c>
      <c r="Y1374" s="22">
        <v>497300</v>
      </c>
      <c r="Z1374" s="22">
        <v>1.664388E-2</v>
      </c>
    </row>
    <row r="1375" spans="19:26" ht="16" x14ac:dyDescent="0.2">
      <c r="S1375" s="23">
        <v>44130</v>
      </c>
      <c r="T1375" s="22">
        <v>29.540000899999999</v>
      </c>
      <c r="U1375" s="22">
        <v>29.6900005</v>
      </c>
      <c r="V1375" s="22">
        <v>29.0100002</v>
      </c>
      <c r="W1375" s="22">
        <v>29.049999199999998</v>
      </c>
      <c r="X1375" s="22">
        <v>23.812503800000002</v>
      </c>
      <c r="Y1375" s="22">
        <v>430500</v>
      </c>
      <c r="Z1375" s="22">
        <v>-2.9401799999999999E-2</v>
      </c>
    </row>
    <row r="1376" spans="19:26" ht="16" x14ac:dyDescent="0.2">
      <c r="S1376" s="23">
        <v>44131</v>
      </c>
      <c r="T1376" s="22">
        <v>28.950000800000002</v>
      </c>
      <c r="U1376" s="22">
        <v>29.1299992</v>
      </c>
      <c r="V1376" s="22">
        <v>28.530000699999999</v>
      </c>
      <c r="W1376" s="22">
        <v>28.899999600000001</v>
      </c>
      <c r="X1376" s="22">
        <v>23.6895466</v>
      </c>
      <c r="Y1376" s="22">
        <v>691200</v>
      </c>
      <c r="Z1376" s="22">
        <v>-5.1636E-3</v>
      </c>
    </row>
    <row r="1377" spans="19:26" ht="16" x14ac:dyDescent="0.2">
      <c r="S1377" s="23">
        <v>44132</v>
      </c>
      <c r="T1377" s="22">
        <v>28.5</v>
      </c>
      <c r="U1377" s="22">
        <v>28.950000800000002</v>
      </c>
      <c r="V1377" s="22">
        <v>28.0599995</v>
      </c>
      <c r="W1377" s="22">
        <v>28.479999500000002</v>
      </c>
      <c r="X1377" s="22">
        <v>23.345270200000002</v>
      </c>
      <c r="Y1377" s="22">
        <v>474600</v>
      </c>
      <c r="Z1377" s="22">
        <v>-1.45328E-2</v>
      </c>
    </row>
    <row r="1378" spans="19:26" ht="16" x14ac:dyDescent="0.2">
      <c r="S1378" s="23">
        <v>44133</v>
      </c>
      <c r="T1378" s="22">
        <v>28.350000399999999</v>
      </c>
      <c r="U1378" s="22">
        <v>28.9899998</v>
      </c>
      <c r="V1378" s="22">
        <v>27.770000499999998</v>
      </c>
      <c r="W1378" s="22">
        <v>28.8099995</v>
      </c>
      <c r="X1378" s="22">
        <v>23.615776100000001</v>
      </c>
      <c r="Y1378" s="22">
        <v>474200</v>
      </c>
      <c r="Z1378" s="22">
        <v>1.1587180000000001E-2</v>
      </c>
    </row>
    <row r="1379" spans="19:26" ht="16" x14ac:dyDescent="0.2">
      <c r="S1379" s="23">
        <v>44134</v>
      </c>
      <c r="T1379" s="22">
        <v>28.709999100000001</v>
      </c>
      <c r="U1379" s="22">
        <v>29.090000199999999</v>
      </c>
      <c r="V1379" s="22">
        <v>27.8099995</v>
      </c>
      <c r="W1379" s="22">
        <v>28.159999800000001</v>
      </c>
      <c r="X1379" s="22">
        <v>23.082967799999999</v>
      </c>
      <c r="Y1379" s="22">
        <v>579000</v>
      </c>
      <c r="Z1379" s="22">
        <v>-2.2561500000000002E-2</v>
      </c>
    </row>
    <row r="1380" spans="19:26" ht="16" x14ac:dyDescent="0.2">
      <c r="S1380" s="23">
        <v>44137</v>
      </c>
      <c r="T1380" s="22">
        <v>28.2399998</v>
      </c>
      <c r="U1380" s="22">
        <v>29.420000099999999</v>
      </c>
      <c r="V1380" s="22">
        <v>28.170000099999999</v>
      </c>
      <c r="W1380" s="22">
        <v>29.290000899999999</v>
      </c>
      <c r="X1380" s="22">
        <v>24.009235400000001</v>
      </c>
      <c r="Y1380" s="22">
        <v>525000</v>
      </c>
      <c r="Z1380" s="22">
        <v>4.0127749999999997E-2</v>
      </c>
    </row>
    <row r="1381" spans="19:26" ht="16" x14ac:dyDescent="0.2">
      <c r="S1381" s="23">
        <v>44138</v>
      </c>
      <c r="T1381" s="22">
        <v>29.7399998</v>
      </c>
      <c r="U1381" s="22">
        <v>30.209999100000001</v>
      </c>
      <c r="V1381" s="22">
        <v>29.3700008</v>
      </c>
      <c r="W1381" s="22">
        <v>29.670000099999999</v>
      </c>
      <c r="X1381" s="22">
        <v>24.3207226</v>
      </c>
      <c r="Y1381" s="22">
        <v>667600</v>
      </c>
      <c r="Z1381" s="22">
        <v>1.297364E-2</v>
      </c>
    </row>
    <row r="1382" spans="19:26" ht="16" x14ac:dyDescent="0.2">
      <c r="S1382" s="23">
        <v>44139</v>
      </c>
      <c r="T1382" s="22">
        <v>29.3099995</v>
      </c>
      <c r="U1382" s="22">
        <v>29.979999500000002</v>
      </c>
      <c r="V1382" s="22">
        <v>28.340000199999999</v>
      </c>
      <c r="W1382" s="22">
        <v>28.469999300000001</v>
      </c>
      <c r="X1382" s="22">
        <v>23.3370724</v>
      </c>
      <c r="Y1382" s="22">
        <v>656500</v>
      </c>
      <c r="Z1382" s="22">
        <v>-4.0444899999999999E-2</v>
      </c>
    </row>
    <row r="1383" spans="19:26" ht="16" x14ac:dyDescent="0.2">
      <c r="S1383" s="23">
        <v>44140</v>
      </c>
      <c r="T1383" s="22">
        <v>28.75</v>
      </c>
      <c r="U1383" s="22">
        <v>29.950000800000002</v>
      </c>
      <c r="V1383" s="22">
        <v>28.170000099999999</v>
      </c>
      <c r="W1383" s="22">
        <v>29.920000099999999</v>
      </c>
      <c r="X1383" s="22">
        <v>24.5256519</v>
      </c>
      <c r="Y1383" s="22">
        <v>556700</v>
      </c>
      <c r="Z1383" s="22">
        <v>5.0930959999999997E-2</v>
      </c>
    </row>
    <row r="1384" spans="19:26" ht="16" x14ac:dyDescent="0.2">
      <c r="S1384" s="23">
        <v>44141</v>
      </c>
      <c r="T1384" s="22">
        <v>30.0699997</v>
      </c>
      <c r="U1384" s="22">
        <v>30.299999199999998</v>
      </c>
      <c r="V1384" s="22">
        <v>29.4300003</v>
      </c>
      <c r="W1384" s="22">
        <v>29.520000499999998</v>
      </c>
      <c r="X1384" s="22">
        <v>24.197771100000001</v>
      </c>
      <c r="Y1384" s="22">
        <v>479300</v>
      </c>
      <c r="Z1384" s="22">
        <v>-1.33689E-2</v>
      </c>
    </row>
    <row r="1385" spans="19:26" ht="16" x14ac:dyDescent="0.2">
      <c r="S1385" s="23">
        <v>44144</v>
      </c>
      <c r="T1385" s="22">
        <v>31.540000899999999</v>
      </c>
      <c r="U1385" s="22">
        <v>32.790000900000003</v>
      </c>
      <c r="V1385" s="22">
        <v>29.270000499999998</v>
      </c>
      <c r="W1385" s="22">
        <v>29.299999199999998</v>
      </c>
      <c r="X1385" s="22">
        <v>24.017431299999998</v>
      </c>
      <c r="Y1385" s="22">
        <v>877200</v>
      </c>
      <c r="Z1385" s="22">
        <v>-7.4526999999999996E-3</v>
      </c>
    </row>
    <row r="1386" spans="19:26" ht="16" x14ac:dyDescent="0.2">
      <c r="S1386" s="23">
        <v>44145</v>
      </c>
      <c r="T1386" s="22">
        <v>29.639999400000001</v>
      </c>
      <c r="U1386" s="22">
        <v>30.860000599999999</v>
      </c>
      <c r="V1386" s="22">
        <v>29.549999199999998</v>
      </c>
      <c r="W1386" s="22">
        <v>30.360000599999999</v>
      </c>
      <c r="X1386" s="22">
        <v>24.886323900000001</v>
      </c>
      <c r="Y1386" s="22">
        <v>545500</v>
      </c>
      <c r="Z1386" s="22">
        <v>3.6177590000000003E-2</v>
      </c>
    </row>
    <row r="1387" spans="19:26" ht="16" x14ac:dyDescent="0.2">
      <c r="S1387" s="23">
        <v>44146</v>
      </c>
      <c r="T1387" s="22">
        <v>30.450000800000002</v>
      </c>
      <c r="U1387" s="22">
        <v>30.909999800000001</v>
      </c>
      <c r="V1387" s="22">
        <v>30.3199997</v>
      </c>
      <c r="W1387" s="22">
        <v>30.639999400000001</v>
      </c>
      <c r="X1387" s="22">
        <v>25.115835199999999</v>
      </c>
      <c r="Y1387" s="22">
        <v>722200</v>
      </c>
      <c r="Z1387" s="22">
        <v>9.2223900000000004E-3</v>
      </c>
    </row>
    <row r="1388" spans="19:26" ht="16" x14ac:dyDescent="0.2">
      <c r="S1388" s="23">
        <v>44147</v>
      </c>
      <c r="T1388" s="22">
        <v>30.700000800000002</v>
      </c>
      <c r="U1388" s="22">
        <v>31</v>
      </c>
      <c r="V1388" s="22">
        <v>29.5699997</v>
      </c>
      <c r="W1388" s="22">
        <v>29.8700008</v>
      </c>
      <c r="X1388" s="22">
        <v>24.484663000000001</v>
      </c>
      <c r="Y1388" s="22">
        <v>589200</v>
      </c>
      <c r="Z1388" s="22">
        <v>-2.5130400000000001E-2</v>
      </c>
    </row>
    <row r="1389" spans="19:26" ht="16" x14ac:dyDescent="0.2">
      <c r="S1389" s="23">
        <v>44148</v>
      </c>
      <c r="T1389" s="22">
        <v>30.1299992</v>
      </c>
      <c r="U1389" s="22">
        <v>30.389999400000001</v>
      </c>
      <c r="V1389" s="22">
        <v>29.8099995</v>
      </c>
      <c r="W1389" s="22">
        <v>29.850000399999999</v>
      </c>
      <c r="X1389" s="22">
        <v>24.4682751</v>
      </c>
      <c r="Y1389" s="22">
        <v>556300</v>
      </c>
      <c r="Z1389" s="22">
        <v>-6.6929999999999995E-4</v>
      </c>
    </row>
    <row r="1390" spans="19:26" ht="16" x14ac:dyDescent="0.2">
      <c r="S1390" s="23">
        <v>44151</v>
      </c>
      <c r="T1390" s="22">
        <v>30.590000199999999</v>
      </c>
      <c r="U1390" s="22">
        <v>30.590000199999999</v>
      </c>
      <c r="V1390" s="22">
        <v>29.350000399999999</v>
      </c>
      <c r="W1390" s="22">
        <v>29.700000800000002</v>
      </c>
      <c r="X1390" s="22">
        <v>24.3453178</v>
      </c>
      <c r="Y1390" s="22">
        <v>439300</v>
      </c>
      <c r="Z1390" s="22">
        <v>-5.0251999999999996E-3</v>
      </c>
    </row>
    <row r="1391" spans="19:26" ht="16" x14ac:dyDescent="0.2">
      <c r="S1391" s="23">
        <v>44152</v>
      </c>
      <c r="T1391" s="22">
        <v>29.399999600000001</v>
      </c>
      <c r="U1391" s="22">
        <v>29.8799992</v>
      </c>
      <c r="V1391" s="22">
        <v>29.25</v>
      </c>
      <c r="W1391" s="22">
        <v>29.340000199999999</v>
      </c>
      <c r="X1391" s="22">
        <v>24.050218600000001</v>
      </c>
      <c r="Y1391" s="22">
        <v>357700</v>
      </c>
      <c r="Z1391" s="22">
        <v>-1.2121399999999999E-2</v>
      </c>
    </row>
    <row r="1392" spans="19:26" ht="16" x14ac:dyDescent="0.2">
      <c r="S1392" s="23">
        <v>44153</v>
      </c>
      <c r="T1392" s="22">
        <v>29.5</v>
      </c>
      <c r="U1392" s="22">
        <v>29.659999800000001</v>
      </c>
      <c r="V1392" s="22">
        <v>29.0100002</v>
      </c>
      <c r="W1392" s="22">
        <v>29.040000899999999</v>
      </c>
      <c r="X1392" s="22">
        <v>23.804307900000001</v>
      </c>
      <c r="Y1392" s="22">
        <v>360900</v>
      </c>
      <c r="Z1392" s="22">
        <v>-1.02249E-2</v>
      </c>
    </row>
    <row r="1393" spans="19:26" ht="16" x14ac:dyDescent="0.2">
      <c r="S1393" s="23">
        <v>44154</v>
      </c>
      <c r="T1393" s="22">
        <v>29</v>
      </c>
      <c r="U1393" s="22">
        <v>29.3700008</v>
      </c>
      <c r="V1393" s="22">
        <v>28.829999900000001</v>
      </c>
      <c r="W1393" s="22">
        <v>29.0599995</v>
      </c>
      <c r="X1393" s="22">
        <v>23.8207035</v>
      </c>
      <c r="Y1393" s="22">
        <v>340200</v>
      </c>
      <c r="Z1393" s="22">
        <v>6.8875999999999996E-4</v>
      </c>
    </row>
    <row r="1394" spans="19:26" ht="16" x14ac:dyDescent="0.2">
      <c r="S1394" s="23">
        <v>44155</v>
      </c>
      <c r="T1394" s="22">
        <v>29.149999600000001</v>
      </c>
      <c r="U1394" s="22">
        <v>29.6299992</v>
      </c>
      <c r="V1394" s="22">
        <v>29.040000899999999</v>
      </c>
      <c r="W1394" s="22">
        <v>29.229999500000002</v>
      </c>
      <c r="X1394" s="22">
        <v>23.960050599999999</v>
      </c>
      <c r="Y1394" s="22">
        <v>478100</v>
      </c>
      <c r="Z1394" s="22">
        <v>5.8498300000000003E-3</v>
      </c>
    </row>
    <row r="1395" spans="19:26" ht="16" x14ac:dyDescent="0.2">
      <c r="S1395" s="23">
        <v>44158</v>
      </c>
      <c r="T1395" s="22">
        <v>29.4899998</v>
      </c>
      <c r="U1395" s="22">
        <v>29.579999900000001</v>
      </c>
      <c r="V1395" s="22">
        <v>29.149999600000001</v>
      </c>
      <c r="W1395" s="22">
        <v>29.25</v>
      </c>
      <c r="X1395" s="22">
        <v>23.976446200000002</v>
      </c>
      <c r="Y1395" s="22">
        <v>419600</v>
      </c>
      <c r="Z1395" s="22">
        <v>6.8429000000000005E-4</v>
      </c>
    </row>
    <row r="1396" spans="19:26" ht="16" x14ac:dyDescent="0.2">
      <c r="S1396" s="23">
        <v>44159</v>
      </c>
      <c r="T1396" s="22">
        <v>29.659999800000001</v>
      </c>
      <c r="U1396" s="22">
        <v>30.0100002</v>
      </c>
      <c r="V1396" s="22">
        <v>29.520000499999998</v>
      </c>
      <c r="W1396" s="22">
        <v>29.6900005</v>
      </c>
      <c r="X1396" s="22">
        <v>24.3371143</v>
      </c>
      <c r="Y1396" s="22">
        <v>554100</v>
      </c>
      <c r="Z1396" s="22">
        <v>1.50426E-2</v>
      </c>
    </row>
    <row r="1397" spans="19:26" ht="16" x14ac:dyDescent="0.2">
      <c r="S1397" s="23">
        <v>44160</v>
      </c>
      <c r="T1397" s="22">
        <v>29.6900005</v>
      </c>
      <c r="U1397" s="22">
        <v>29.770000499999998</v>
      </c>
      <c r="V1397" s="22">
        <v>28.950000800000002</v>
      </c>
      <c r="W1397" s="22">
        <v>29.3199997</v>
      </c>
      <c r="X1397" s="22">
        <v>24.033823000000002</v>
      </c>
      <c r="Y1397" s="22">
        <v>499700</v>
      </c>
      <c r="Z1397" s="22">
        <v>-1.24621E-2</v>
      </c>
    </row>
    <row r="1398" spans="19:26" ht="16" x14ac:dyDescent="0.2">
      <c r="S1398" s="23">
        <v>44162</v>
      </c>
      <c r="T1398" s="22">
        <v>29.3199997</v>
      </c>
      <c r="U1398" s="22">
        <v>29.649999600000001</v>
      </c>
      <c r="V1398" s="22">
        <v>29.270000499999998</v>
      </c>
      <c r="W1398" s="22">
        <v>29.5100002</v>
      </c>
      <c r="X1398" s="22">
        <v>24.1895676</v>
      </c>
      <c r="Y1398" s="22">
        <v>258600</v>
      </c>
      <c r="Z1398" s="22">
        <v>6.4802200000000001E-3</v>
      </c>
    </row>
    <row r="1399" spans="19:26" ht="16" x14ac:dyDescent="0.2">
      <c r="S1399" s="23">
        <v>44165</v>
      </c>
      <c r="T1399" s="22">
        <v>29.540000899999999</v>
      </c>
      <c r="U1399" s="22">
        <v>29.540000899999999</v>
      </c>
      <c r="V1399" s="22">
        <v>28.950000800000002</v>
      </c>
      <c r="W1399" s="22">
        <v>29.270000499999998</v>
      </c>
      <c r="X1399" s="22">
        <v>24.254207600000001</v>
      </c>
      <c r="Y1399" s="22">
        <v>469000</v>
      </c>
      <c r="Z1399" s="22">
        <v>2.6722299999999998E-3</v>
      </c>
    </row>
    <row r="1400" spans="19:26" ht="16" x14ac:dyDescent="0.2">
      <c r="S1400" s="23">
        <v>44166</v>
      </c>
      <c r="T1400" s="22">
        <v>29.5</v>
      </c>
      <c r="U1400" s="22">
        <v>29.770000499999998</v>
      </c>
      <c r="V1400" s="22">
        <v>29.110000599999999</v>
      </c>
      <c r="W1400" s="22">
        <v>29.579999900000001</v>
      </c>
      <c r="X1400" s="22">
        <v>24.511083599999999</v>
      </c>
      <c r="Y1400" s="22">
        <v>784700</v>
      </c>
      <c r="Z1400" s="22">
        <v>1.059099E-2</v>
      </c>
    </row>
    <row r="1401" spans="19:26" ht="16" x14ac:dyDescent="0.2">
      <c r="S1401" s="23">
        <v>44167</v>
      </c>
      <c r="T1401" s="22">
        <v>29.5</v>
      </c>
      <c r="U1401" s="22">
        <v>29.75</v>
      </c>
      <c r="V1401" s="22">
        <v>29.149999600000001</v>
      </c>
      <c r="W1401" s="22">
        <v>29.530000699999999</v>
      </c>
      <c r="X1401" s="22">
        <v>24.469648400000001</v>
      </c>
      <c r="Y1401" s="22">
        <v>616500</v>
      </c>
      <c r="Z1401" s="22">
        <v>-1.6904999999999999E-3</v>
      </c>
    </row>
    <row r="1402" spans="19:26" ht="16" x14ac:dyDescent="0.2">
      <c r="S1402" s="23">
        <v>44168</v>
      </c>
      <c r="T1402" s="22">
        <v>29.610000599999999</v>
      </c>
      <c r="U1402" s="22">
        <v>29.8099995</v>
      </c>
      <c r="V1402" s="22">
        <v>29.2399998</v>
      </c>
      <c r="W1402" s="22">
        <v>29.389999400000001</v>
      </c>
      <c r="X1402" s="22">
        <v>24.353639600000001</v>
      </c>
      <c r="Y1402" s="22">
        <v>1052700</v>
      </c>
      <c r="Z1402" s="22">
        <v>-4.7409000000000001E-3</v>
      </c>
    </row>
    <row r="1403" spans="19:26" ht="16" x14ac:dyDescent="0.2">
      <c r="S1403" s="23">
        <v>44169</v>
      </c>
      <c r="T1403" s="22">
        <v>29.389999400000001</v>
      </c>
      <c r="U1403" s="22">
        <v>29.969999300000001</v>
      </c>
      <c r="V1403" s="22">
        <v>29.25</v>
      </c>
      <c r="W1403" s="22">
        <v>29.950000800000002</v>
      </c>
      <c r="X1403" s="22">
        <v>24.8176785</v>
      </c>
      <c r="Y1403" s="22">
        <v>375100</v>
      </c>
      <c r="Z1403" s="22">
        <v>1.9054189999999999E-2</v>
      </c>
    </row>
    <row r="1404" spans="19:26" ht="16" x14ac:dyDescent="0.2">
      <c r="S1404" s="23">
        <v>44172</v>
      </c>
      <c r="T1404" s="22">
        <v>30</v>
      </c>
      <c r="U1404" s="22">
        <v>30.889999400000001</v>
      </c>
      <c r="V1404" s="22">
        <v>30</v>
      </c>
      <c r="W1404" s="22">
        <v>30.840000199999999</v>
      </c>
      <c r="X1404" s="22">
        <v>25.555166199999999</v>
      </c>
      <c r="Y1404" s="22">
        <v>654200</v>
      </c>
      <c r="Z1404" s="22">
        <v>2.971623E-2</v>
      </c>
    </row>
    <row r="1405" spans="19:26" ht="16" x14ac:dyDescent="0.2">
      <c r="S1405" s="23">
        <v>44173</v>
      </c>
      <c r="T1405" s="22">
        <v>31</v>
      </c>
      <c r="U1405" s="22">
        <v>31.450000800000002</v>
      </c>
      <c r="V1405" s="22">
        <v>30.719999300000001</v>
      </c>
      <c r="W1405" s="22">
        <v>31.1200008</v>
      </c>
      <c r="X1405" s="22">
        <v>25.787183800000001</v>
      </c>
      <c r="Y1405" s="22">
        <v>1840600</v>
      </c>
      <c r="Z1405" s="22">
        <v>9.0790799999999998E-3</v>
      </c>
    </row>
    <row r="1406" spans="19:26" ht="16" x14ac:dyDescent="0.2">
      <c r="S1406" s="23">
        <v>44174</v>
      </c>
      <c r="T1406" s="22">
        <v>31.299999199999998</v>
      </c>
      <c r="U1406" s="22">
        <v>31.399999600000001</v>
      </c>
      <c r="V1406" s="22">
        <v>30.0599995</v>
      </c>
      <c r="W1406" s="22">
        <v>30.389999400000001</v>
      </c>
      <c r="X1406" s="22">
        <v>25.182275799999999</v>
      </c>
      <c r="Y1406" s="22">
        <v>565400</v>
      </c>
      <c r="Z1406" s="22">
        <v>-2.3457700000000001E-2</v>
      </c>
    </row>
    <row r="1407" spans="19:26" ht="16" x14ac:dyDescent="0.2">
      <c r="S1407" s="23">
        <v>44175</v>
      </c>
      <c r="T1407" s="22">
        <v>30.209999100000001</v>
      </c>
      <c r="U1407" s="22">
        <v>30.409999800000001</v>
      </c>
      <c r="V1407" s="22">
        <v>29.6900005</v>
      </c>
      <c r="W1407" s="22">
        <v>30.3799992</v>
      </c>
      <c r="X1407" s="22">
        <v>25.173988300000001</v>
      </c>
      <c r="Y1407" s="22">
        <v>387000</v>
      </c>
      <c r="Z1407" s="22">
        <v>-3.2909999999999998E-4</v>
      </c>
    </row>
    <row r="1408" spans="19:26" ht="16" x14ac:dyDescent="0.2">
      <c r="S1408" s="23">
        <v>44176</v>
      </c>
      <c r="T1408" s="22">
        <v>30.25</v>
      </c>
      <c r="U1408" s="22">
        <v>30.920000099999999</v>
      </c>
      <c r="V1408" s="22">
        <v>30.159999800000001</v>
      </c>
      <c r="W1408" s="22">
        <v>30.8700008</v>
      </c>
      <c r="X1408" s="22">
        <v>25.580024699999999</v>
      </c>
      <c r="Y1408" s="22">
        <v>459200</v>
      </c>
      <c r="Z1408" s="22">
        <v>1.61292E-2</v>
      </c>
    </row>
    <row r="1409" spans="19:26" ht="16" x14ac:dyDescent="0.2">
      <c r="S1409" s="23">
        <v>44179</v>
      </c>
      <c r="T1409" s="22">
        <v>31.329999900000001</v>
      </c>
      <c r="U1409" s="22">
        <v>31.579999900000001</v>
      </c>
      <c r="V1409" s="22">
        <v>30.4300003</v>
      </c>
      <c r="W1409" s="22">
        <v>30.5100002</v>
      </c>
      <c r="X1409" s="22">
        <v>25.2817097</v>
      </c>
      <c r="Y1409" s="22">
        <v>530400</v>
      </c>
      <c r="Z1409" s="22">
        <v>-1.1662E-2</v>
      </c>
    </row>
    <row r="1410" spans="19:26" ht="16" x14ac:dyDescent="0.2">
      <c r="S1410" s="23">
        <v>44180</v>
      </c>
      <c r="T1410" s="22">
        <v>30.299999199999998</v>
      </c>
      <c r="U1410" s="22">
        <v>31.229999500000002</v>
      </c>
      <c r="V1410" s="22">
        <v>30.149999600000001</v>
      </c>
      <c r="W1410" s="22">
        <v>31.209999100000001</v>
      </c>
      <c r="X1410" s="22">
        <v>25.861757300000001</v>
      </c>
      <c r="Y1410" s="22">
        <v>585500</v>
      </c>
      <c r="Z1410" s="22">
        <v>2.2943370000000001E-2</v>
      </c>
    </row>
    <row r="1411" spans="19:26" ht="16" x14ac:dyDescent="0.2">
      <c r="S1411" s="23">
        <v>44181</v>
      </c>
      <c r="T1411" s="22">
        <v>31.399999600000001</v>
      </c>
      <c r="U1411" s="22">
        <v>31.420000099999999</v>
      </c>
      <c r="V1411" s="22">
        <v>31.049999199999998</v>
      </c>
      <c r="W1411" s="22">
        <v>31.159999800000001</v>
      </c>
      <c r="X1411" s="22">
        <v>25.820327800000001</v>
      </c>
      <c r="Y1411" s="22">
        <v>520800</v>
      </c>
      <c r="Z1411" s="22">
        <v>-1.6019999999999999E-3</v>
      </c>
    </row>
    <row r="1412" spans="19:26" ht="16" x14ac:dyDescent="0.2">
      <c r="S1412" s="23">
        <v>44182</v>
      </c>
      <c r="T1412" s="22">
        <v>31.200000800000002</v>
      </c>
      <c r="U1412" s="22">
        <v>31.840000199999999</v>
      </c>
      <c r="V1412" s="22">
        <v>31.0699997</v>
      </c>
      <c r="W1412" s="22">
        <v>31.639999400000001</v>
      </c>
      <c r="X1412" s="22">
        <v>26.218070999999998</v>
      </c>
      <c r="Y1412" s="22">
        <v>1151800</v>
      </c>
      <c r="Z1412" s="22">
        <v>1.5404269999999999E-2</v>
      </c>
    </row>
    <row r="1413" spans="19:26" ht="16" x14ac:dyDescent="0.2">
      <c r="S1413" s="23">
        <v>44183</v>
      </c>
      <c r="T1413" s="22">
        <v>31.909999800000001</v>
      </c>
      <c r="U1413" s="22">
        <v>32.270000500000002</v>
      </c>
      <c r="V1413" s="22">
        <v>31.479999500000002</v>
      </c>
      <c r="W1413" s="22">
        <v>32.180000300000003</v>
      </c>
      <c r="X1413" s="22">
        <v>26.665540700000001</v>
      </c>
      <c r="Y1413" s="22">
        <v>3386600</v>
      </c>
      <c r="Z1413" s="22">
        <v>1.7067220000000001E-2</v>
      </c>
    </row>
    <row r="1414" spans="19:26" ht="16" x14ac:dyDescent="0.2">
      <c r="S1414" s="23">
        <v>44186</v>
      </c>
      <c r="T1414" s="22">
        <v>31.610000599999999</v>
      </c>
      <c r="U1414" s="22">
        <v>31.829999900000001</v>
      </c>
      <c r="V1414" s="22">
        <v>31.1200008</v>
      </c>
      <c r="W1414" s="22">
        <v>31.780000699999999</v>
      </c>
      <c r="X1414" s="22">
        <v>26.334081600000001</v>
      </c>
      <c r="Y1414" s="22">
        <v>1399200</v>
      </c>
      <c r="Z1414" s="22">
        <v>-1.2430200000000001E-2</v>
      </c>
    </row>
    <row r="1415" spans="19:26" ht="16" x14ac:dyDescent="0.2">
      <c r="S1415" s="23">
        <v>44187</v>
      </c>
      <c r="T1415" s="22">
        <v>32</v>
      </c>
      <c r="U1415" s="22">
        <v>32.930000300000003</v>
      </c>
      <c r="V1415" s="22">
        <v>31.9400005</v>
      </c>
      <c r="W1415" s="22">
        <v>32.529998800000001</v>
      </c>
      <c r="X1415" s="22">
        <v>26.9555626</v>
      </c>
      <c r="Y1415" s="22">
        <v>1020600</v>
      </c>
      <c r="Z1415" s="22">
        <v>2.3599869999999998E-2</v>
      </c>
    </row>
    <row r="1416" spans="19:26" ht="16" x14ac:dyDescent="0.2">
      <c r="S1416" s="23">
        <v>44188</v>
      </c>
      <c r="T1416" s="22">
        <v>32.990001700000001</v>
      </c>
      <c r="U1416" s="22">
        <v>33.229999499999998</v>
      </c>
      <c r="V1416" s="22">
        <v>32.790000900000003</v>
      </c>
      <c r="W1416" s="22">
        <v>32.909999800000001</v>
      </c>
      <c r="X1416" s="22">
        <v>27.270441099999999</v>
      </c>
      <c r="Y1416" s="22">
        <v>1022600</v>
      </c>
      <c r="Z1416" s="22">
        <v>1.168139E-2</v>
      </c>
    </row>
    <row r="1417" spans="19:26" ht="16" x14ac:dyDescent="0.2">
      <c r="S1417" s="23">
        <v>44189</v>
      </c>
      <c r="T1417" s="22">
        <v>33.049999200000002</v>
      </c>
      <c r="U1417" s="22">
        <v>33.380001100000001</v>
      </c>
      <c r="V1417" s="22">
        <v>32.639999400000001</v>
      </c>
      <c r="W1417" s="22">
        <v>32.669998200000002</v>
      </c>
      <c r="X1417" s="22">
        <v>27.0715714</v>
      </c>
      <c r="Y1417" s="22">
        <v>346200</v>
      </c>
      <c r="Z1417" s="22">
        <v>-7.2925000000000004E-3</v>
      </c>
    </row>
    <row r="1418" spans="19:26" ht="16" x14ac:dyDescent="0.2">
      <c r="S1418" s="23">
        <v>44193</v>
      </c>
      <c r="T1418" s="22">
        <v>33.049999200000002</v>
      </c>
      <c r="U1418" s="22">
        <v>33.319999699999997</v>
      </c>
      <c r="V1418" s="22">
        <v>32.180000300000003</v>
      </c>
      <c r="W1418" s="22">
        <v>32.389999400000001</v>
      </c>
      <c r="X1418" s="22">
        <v>26.839549999999999</v>
      </c>
      <c r="Y1418" s="22">
        <v>572400</v>
      </c>
      <c r="Z1418" s="22">
        <v>-8.5707000000000005E-3</v>
      </c>
    </row>
    <row r="1419" spans="19:26" ht="16" x14ac:dyDescent="0.2">
      <c r="S1419" s="23">
        <v>44194</v>
      </c>
      <c r="T1419" s="22">
        <v>32.439998600000003</v>
      </c>
      <c r="U1419" s="22">
        <v>32.599998499999998</v>
      </c>
      <c r="V1419" s="22">
        <v>31.5599995</v>
      </c>
      <c r="W1419" s="22">
        <v>31.770000499999998</v>
      </c>
      <c r="X1419" s="22">
        <v>26.325796100000002</v>
      </c>
      <c r="Y1419" s="22">
        <v>736100</v>
      </c>
      <c r="Z1419" s="22">
        <v>-1.9141700000000001E-2</v>
      </c>
    </row>
    <row r="1420" spans="19:26" ht="16" x14ac:dyDescent="0.2">
      <c r="S1420" s="23">
        <v>44195</v>
      </c>
      <c r="T1420" s="22">
        <v>31.909999800000001</v>
      </c>
      <c r="U1420" s="22">
        <v>32.349998499999998</v>
      </c>
      <c r="V1420" s="22">
        <v>31.590000199999999</v>
      </c>
      <c r="W1420" s="22">
        <v>32.130001100000001</v>
      </c>
      <c r="X1420" s="22">
        <v>26.6241035</v>
      </c>
      <c r="Y1420" s="22">
        <v>729400</v>
      </c>
      <c r="Z1420" s="22">
        <v>1.133137E-2</v>
      </c>
    </row>
    <row r="1421" spans="19:26" ht="16" x14ac:dyDescent="0.2">
      <c r="S1421" s="23">
        <v>44196</v>
      </c>
      <c r="T1421" s="22">
        <v>32.069999699999997</v>
      </c>
      <c r="U1421" s="22">
        <v>32.169998200000002</v>
      </c>
      <c r="V1421" s="22">
        <v>31.610000599999999</v>
      </c>
      <c r="W1421" s="22">
        <v>31.9300003</v>
      </c>
      <c r="X1421" s="22">
        <v>26.4583759</v>
      </c>
      <c r="Y1421" s="22">
        <v>972900</v>
      </c>
      <c r="Z1421" s="22">
        <v>-6.2246999999999997E-3</v>
      </c>
    </row>
    <row r="1422" spans="19:26" ht="16" x14ac:dyDescent="0.2">
      <c r="S1422" s="23">
        <v>44200</v>
      </c>
      <c r="T1422" s="22">
        <v>32.240001700000001</v>
      </c>
      <c r="U1422" s="22">
        <v>33.5</v>
      </c>
      <c r="V1422" s="22">
        <v>32</v>
      </c>
      <c r="W1422" s="22">
        <v>33.470001199999999</v>
      </c>
      <c r="X1422" s="22">
        <v>27.734483699999998</v>
      </c>
      <c r="Y1422" s="22">
        <v>1146800</v>
      </c>
      <c r="Z1422" s="22">
        <v>4.8230769999999999E-2</v>
      </c>
    </row>
    <row r="1423" spans="19:26" ht="16" x14ac:dyDescent="0.2">
      <c r="S1423" s="23">
        <v>44201</v>
      </c>
      <c r="T1423" s="22">
        <v>33.520000500000002</v>
      </c>
      <c r="U1423" s="22">
        <v>33.810001399999997</v>
      </c>
      <c r="V1423" s="22">
        <v>32.939998600000003</v>
      </c>
      <c r="W1423" s="22">
        <v>33.590000199999999</v>
      </c>
      <c r="X1423" s="22">
        <v>27.833917599999999</v>
      </c>
      <c r="Y1423" s="22">
        <v>732000</v>
      </c>
      <c r="Z1423" s="22">
        <v>3.5852100000000001E-3</v>
      </c>
    </row>
    <row r="1424" spans="19:26" ht="16" x14ac:dyDescent="0.2">
      <c r="S1424" s="23">
        <v>44202</v>
      </c>
      <c r="T1424" s="22">
        <v>34.040000900000003</v>
      </c>
      <c r="U1424" s="22">
        <v>36.509998299999999</v>
      </c>
      <c r="V1424" s="22">
        <v>34</v>
      </c>
      <c r="W1424" s="22">
        <v>35.810001399999997</v>
      </c>
      <c r="X1424" s="22">
        <v>29.673494300000002</v>
      </c>
      <c r="Y1424" s="22">
        <v>2054500</v>
      </c>
      <c r="Z1424" s="22">
        <v>6.6091189999999994E-2</v>
      </c>
    </row>
    <row r="1425" spans="19:26" ht="16" x14ac:dyDescent="0.2">
      <c r="S1425" s="23">
        <v>44203</v>
      </c>
      <c r="T1425" s="22">
        <v>36.259998299999999</v>
      </c>
      <c r="U1425" s="22">
        <v>37.229999499999998</v>
      </c>
      <c r="V1425" s="22">
        <v>35.770000500000002</v>
      </c>
      <c r="W1425" s="22">
        <v>36.520000500000002</v>
      </c>
      <c r="X1425" s="22">
        <v>30.261821699999999</v>
      </c>
      <c r="Y1425" s="22">
        <v>1057400</v>
      </c>
      <c r="Z1425" s="22">
        <v>1.9826699999999999E-2</v>
      </c>
    </row>
    <row r="1426" spans="19:26" ht="16" x14ac:dyDescent="0.2">
      <c r="S1426" s="23">
        <v>44204</v>
      </c>
      <c r="T1426" s="22">
        <v>36.619998899999999</v>
      </c>
      <c r="U1426" s="22">
        <v>36.919998200000002</v>
      </c>
      <c r="V1426" s="22">
        <v>35.240001700000001</v>
      </c>
      <c r="W1426" s="22">
        <v>35.770000500000002</v>
      </c>
      <c r="X1426" s="22">
        <v>29.640344599999999</v>
      </c>
      <c r="Y1426" s="22">
        <v>812300</v>
      </c>
      <c r="Z1426" s="22">
        <v>-2.0536700000000001E-2</v>
      </c>
    </row>
    <row r="1427" spans="19:26" ht="16" x14ac:dyDescent="0.2">
      <c r="S1427" s="23">
        <v>44207</v>
      </c>
      <c r="T1427" s="22">
        <v>35.419998200000002</v>
      </c>
      <c r="U1427" s="22">
        <v>35.619998899999999</v>
      </c>
      <c r="V1427" s="22">
        <v>34.380001100000001</v>
      </c>
      <c r="W1427" s="22">
        <v>34.799999200000002</v>
      </c>
      <c r="X1427" s="22">
        <v>28.836561199999998</v>
      </c>
      <c r="Y1427" s="22">
        <v>1313200</v>
      </c>
      <c r="Z1427" s="22">
        <v>-2.71179E-2</v>
      </c>
    </row>
    <row r="1428" spans="19:26" ht="16" x14ac:dyDescent="0.2">
      <c r="S1428" s="23">
        <v>44208</v>
      </c>
      <c r="T1428" s="22">
        <v>35.029998800000001</v>
      </c>
      <c r="U1428" s="22">
        <v>35.330001799999998</v>
      </c>
      <c r="V1428" s="22">
        <v>34.159999800000001</v>
      </c>
      <c r="W1428" s="22">
        <v>34.720001199999999</v>
      </c>
      <c r="X1428" s="22">
        <v>28.770273199999998</v>
      </c>
      <c r="Y1428" s="22">
        <v>1649300</v>
      </c>
      <c r="Z1428" s="22">
        <v>-2.2986999999999999E-3</v>
      </c>
    </row>
    <row r="1429" spans="19:26" ht="16" x14ac:dyDescent="0.2">
      <c r="S1429" s="23">
        <v>44209</v>
      </c>
      <c r="T1429" s="22">
        <v>34.860000599999999</v>
      </c>
      <c r="U1429" s="22">
        <v>35.689998600000003</v>
      </c>
      <c r="V1429" s="22">
        <v>34.5</v>
      </c>
      <c r="W1429" s="22">
        <v>34.790000900000003</v>
      </c>
      <c r="X1429" s="22">
        <v>28.828279500000001</v>
      </c>
      <c r="Y1429" s="22">
        <v>571700</v>
      </c>
      <c r="Z1429" s="22">
        <v>2.0161900000000002E-3</v>
      </c>
    </row>
    <row r="1430" spans="19:26" ht="16" x14ac:dyDescent="0.2">
      <c r="S1430" s="23">
        <v>44210</v>
      </c>
      <c r="T1430" s="22">
        <v>34.860000599999999</v>
      </c>
      <c r="U1430" s="22">
        <v>34.919998200000002</v>
      </c>
      <c r="V1430" s="22">
        <v>33.860000599999999</v>
      </c>
      <c r="W1430" s="22">
        <v>34.330001799999998</v>
      </c>
      <c r="X1430" s="22">
        <v>28.447111100000001</v>
      </c>
      <c r="Y1430" s="22">
        <v>783200</v>
      </c>
      <c r="Z1430" s="22">
        <v>-1.3221999999999999E-2</v>
      </c>
    </row>
    <row r="1431" spans="19:26" ht="16" x14ac:dyDescent="0.2">
      <c r="S1431" s="23">
        <v>44211</v>
      </c>
      <c r="T1431" s="22">
        <v>33.939998600000003</v>
      </c>
      <c r="U1431" s="22">
        <v>34.380001100000001</v>
      </c>
      <c r="V1431" s="22">
        <v>33.229999499999998</v>
      </c>
      <c r="W1431" s="22">
        <v>33.779998800000001</v>
      </c>
      <c r="X1431" s="22">
        <v>27.991354000000001</v>
      </c>
      <c r="Y1431" s="22">
        <v>1209200</v>
      </c>
      <c r="Z1431" s="22">
        <v>-1.6021199999999999E-2</v>
      </c>
    </row>
    <row r="1432" spans="19:26" ht="16" x14ac:dyDescent="0.2">
      <c r="S1432" s="23">
        <v>44215</v>
      </c>
      <c r="T1432" s="22">
        <v>34.099998499999998</v>
      </c>
      <c r="U1432" s="22">
        <v>34.479999499999998</v>
      </c>
      <c r="V1432" s="22">
        <v>33.639999400000001</v>
      </c>
      <c r="W1432" s="22">
        <v>33.790000900000003</v>
      </c>
      <c r="X1432" s="22">
        <v>27.9996452</v>
      </c>
      <c r="Y1432" s="22">
        <v>614400</v>
      </c>
      <c r="Z1432" s="22">
        <v>2.9620999999999998E-4</v>
      </c>
    </row>
    <row r="1433" spans="19:26" ht="16" x14ac:dyDescent="0.2">
      <c r="S1433" s="23">
        <v>44216</v>
      </c>
      <c r="T1433" s="22">
        <v>33.939998600000003</v>
      </c>
      <c r="U1433" s="22">
        <v>34.849998499999998</v>
      </c>
      <c r="V1433" s="22">
        <v>33.659999800000001</v>
      </c>
      <c r="W1433" s="22">
        <v>34.5</v>
      </c>
      <c r="X1433" s="22">
        <v>28.587968799999999</v>
      </c>
      <c r="Y1433" s="22">
        <v>616500</v>
      </c>
      <c r="Z1433" s="22">
        <v>2.101182E-2</v>
      </c>
    </row>
    <row r="1434" spans="19:26" ht="16" x14ac:dyDescent="0.2">
      <c r="S1434" s="23">
        <v>44217</v>
      </c>
      <c r="T1434" s="22">
        <v>34.729999499999998</v>
      </c>
      <c r="U1434" s="22">
        <v>35.630001100000001</v>
      </c>
      <c r="V1434" s="22">
        <v>34.349998499999998</v>
      </c>
      <c r="W1434" s="22">
        <v>35.25</v>
      </c>
      <c r="X1434" s="22">
        <v>29.209451699999999</v>
      </c>
      <c r="Y1434" s="22">
        <v>853600</v>
      </c>
      <c r="Z1434" s="22">
        <v>2.1739310000000001E-2</v>
      </c>
    </row>
    <row r="1435" spans="19:26" ht="16" x14ac:dyDescent="0.2">
      <c r="S1435" s="23">
        <v>44218</v>
      </c>
      <c r="T1435" s="22">
        <v>35</v>
      </c>
      <c r="U1435" s="22">
        <v>35.240001700000001</v>
      </c>
      <c r="V1435" s="22">
        <v>34.349998499999998</v>
      </c>
      <c r="W1435" s="22">
        <v>35.110000599999999</v>
      </c>
      <c r="X1435" s="22">
        <v>29.0934448</v>
      </c>
      <c r="Y1435" s="22">
        <v>675000</v>
      </c>
      <c r="Z1435" s="22">
        <v>-3.9715999999999996E-3</v>
      </c>
    </row>
    <row r="1436" spans="19:26" ht="16" x14ac:dyDescent="0.2">
      <c r="S1436" s="23">
        <v>44221</v>
      </c>
      <c r="T1436" s="22">
        <v>35.009998299999999</v>
      </c>
      <c r="U1436" s="22">
        <v>35.380001100000001</v>
      </c>
      <c r="V1436" s="22">
        <v>34.110000599999999</v>
      </c>
      <c r="W1436" s="22">
        <v>35.049999200000002</v>
      </c>
      <c r="X1436" s="22">
        <v>29.0437279</v>
      </c>
      <c r="Y1436" s="22">
        <v>913400</v>
      </c>
      <c r="Z1436" s="22">
        <v>-1.7089E-3</v>
      </c>
    </row>
    <row r="1437" spans="19:26" ht="16" x14ac:dyDescent="0.2">
      <c r="S1437" s="23">
        <v>44222</v>
      </c>
      <c r="T1437" s="22">
        <v>35</v>
      </c>
      <c r="U1437" s="22">
        <v>35.130001100000001</v>
      </c>
      <c r="V1437" s="22">
        <v>32.970001199999999</v>
      </c>
      <c r="W1437" s="22">
        <v>32.979999499999998</v>
      </c>
      <c r="X1437" s="22">
        <v>27.3284454</v>
      </c>
      <c r="Y1437" s="22">
        <v>679200</v>
      </c>
      <c r="Z1437" s="22">
        <v>-5.9058600000000003E-2</v>
      </c>
    </row>
    <row r="1438" spans="19:26" ht="16" x14ac:dyDescent="0.2">
      <c r="S1438" s="23">
        <v>44223</v>
      </c>
      <c r="T1438" s="22">
        <v>32.349998499999998</v>
      </c>
      <c r="U1438" s="22">
        <v>32.409999800000001</v>
      </c>
      <c r="V1438" s="22">
        <v>30.799999199999998</v>
      </c>
      <c r="W1438" s="22">
        <v>30.889999400000001</v>
      </c>
      <c r="X1438" s="22">
        <v>25.596593899999998</v>
      </c>
      <c r="Y1438" s="22">
        <v>1293900</v>
      </c>
      <c r="Z1438" s="22">
        <v>-6.3371800000000006E-2</v>
      </c>
    </row>
    <row r="1439" spans="19:26" ht="16" x14ac:dyDescent="0.2">
      <c r="S1439" s="23">
        <v>44224</v>
      </c>
      <c r="T1439" s="22">
        <v>31.389999400000001</v>
      </c>
      <c r="U1439" s="22">
        <v>32.200000799999998</v>
      </c>
      <c r="V1439" s="22">
        <v>31.0599995</v>
      </c>
      <c r="W1439" s="22">
        <v>31.610000599999999</v>
      </c>
      <c r="X1439" s="22">
        <v>26.193214399999999</v>
      </c>
      <c r="Y1439" s="22">
        <v>1187400</v>
      </c>
      <c r="Z1439" s="22">
        <v>2.3308590000000001E-2</v>
      </c>
    </row>
    <row r="1440" spans="19:26" ht="16" x14ac:dyDescent="0.2">
      <c r="S1440" s="23">
        <v>44225</v>
      </c>
      <c r="T1440" s="22">
        <v>31.610000599999999</v>
      </c>
      <c r="U1440" s="22">
        <v>31.909999800000001</v>
      </c>
      <c r="V1440" s="22">
        <v>30.8799992</v>
      </c>
      <c r="W1440" s="22">
        <v>30.979999500000002</v>
      </c>
      <c r="X1440" s="22">
        <v>25.671173100000001</v>
      </c>
      <c r="Y1440" s="22">
        <v>766200</v>
      </c>
      <c r="Z1440" s="22">
        <v>-1.9930400000000001E-2</v>
      </c>
    </row>
    <row r="1441" spans="19:26" ht="16" x14ac:dyDescent="0.2">
      <c r="S1441" s="23">
        <v>44228</v>
      </c>
      <c r="T1441" s="22">
        <v>31.149999600000001</v>
      </c>
      <c r="U1441" s="22">
        <v>31.360000599999999</v>
      </c>
      <c r="V1441" s="22">
        <v>30.540000899999999</v>
      </c>
      <c r="W1441" s="22">
        <v>31.25</v>
      </c>
      <c r="X1441" s="22">
        <v>25.894905099999999</v>
      </c>
      <c r="Y1441" s="22">
        <v>492100</v>
      </c>
      <c r="Z1441" s="22">
        <v>8.7153000000000005E-3</v>
      </c>
    </row>
    <row r="1442" spans="19:26" ht="16" x14ac:dyDescent="0.2">
      <c r="S1442" s="23">
        <v>44229</v>
      </c>
      <c r="T1442" s="22">
        <v>31.5</v>
      </c>
      <c r="U1442" s="22">
        <v>32.049999200000002</v>
      </c>
      <c r="V1442" s="22">
        <v>31.100000399999999</v>
      </c>
      <c r="W1442" s="22">
        <v>31.719999300000001</v>
      </c>
      <c r="X1442" s="22">
        <v>26.2843628</v>
      </c>
      <c r="Y1442" s="22">
        <v>641600</v>
      </c>
      <c r="Z1442" s="22">
        <v>1.503994E-2</v>
      </c>
    </row>
    <row r="1443" spans="19:26" ht="16" x14ac:dyDescent="0.2">
      <c r="S1443" s="23">
        <v>44230</v>
      </c>
      <c r="T1443" s="22">
        <v>31.7600002</v>
      </c>
      <c r="U1443" s="22">
        <v>32.419998200000002</v>
      </c>
      <c r="V1443" s="22">
        <v>31.25</v>
      </c>
      <c r="W1443" s="22">
        <v>31.75</v>
      </c>
      <c r="X1443" s="22">
        <v>26.309225099999999</v>
      </c>
      <c r="Y1443" s="22">
        <v>806500</v>
      </c>
      <c r="Z1443" s="22">
        <v>9.4589999999999995E-4</v>
      </c>
    </row>
    <row r="1444" spans="19:26" ht="16" x14ac:dyDescent="0.2">
      <c r="S1444" s="23">
        <v>44231</v>
      </c>
      <c r="T1444" s="22">
        <v>31.8099995</v>
      </c>
      <c r="U1444" s="22">
        <v>32</v>
      </c>
      <c r="V1444" s="22">
        <v>31.280000699999999</v>
      </c>
      <c r="W1444" s="22">
        <v>31.899999600000001</v>
      </c>
      <c r="X1444" s="22">
        <v>26.433521299999999</v>
      </c>
      <c r="Y1444" s="22">
        <v>558100</v>
      </c>
      <c r="Z1444" s="22">
        <v>4.7244299999999999E-3</v>
      </c>
    </row>
    <row r="1445" spans="19:26" ht="16" x14ac:dyDescent="0.2">
      <c r="S1445" s="23">
        <v>44232</v>
      </c>
      <c r="T1445" s="22">
        <v>32.220001199999999</v>
      </c>
      <c r="U1445" s="22">
        <v>32.689998600000003</v>
      </c>
      <c r="V1445" s="22">
        <v>32.040000900000003</v>
      </c>
      <c r="W1445" s="22">
        <v>32.430000300000003</v>
      </c>
      <c r="X1445" s="22">
        <v>26.8726959</v>
      </c>
      <c r="Y1445" s="22">
        <v>670200</v>
      </c>
      <c r="Z1445" s="22">
        <v>1.661431E-2</v>
      </c>
    </row>
    <row r="1446" spans="19:26" ht="16" x14ac:dyDescent="0.2">
      <c r="S1446" s="23">
        <v>44235</v>
      </c>
      <c r="T1446" s="22">
        <v>32.630001100000001</v>
      </c>
      <c r="U1446" s="22">
        <v>32.830001799999998</v>
      </c>
      <c r="V1446" s="22">
        <v>32.119998899999999</v>
      </c>
      <c r="W1446" s="22">
        <v>32.25</v>
      </c>
      <c r="X1446" s="22">
        <v>26.7235394</v>
      </c>
      <c r="Y1446" s="22">
        <v>732800</v>
      </c>
      <c r="Z1446" s="22">
        <v>-5.5504999999999999E-3</v>
      </c>
    </row>
    <row r="1447" spans="19:26" ht="16" x14ac:dyDescent="0.2">
      <c r="S1447" s="23">
        <v>44236</v>
      </c>
      <c r="T1447" s="22">
        <v>32.25</v>
      </c>
      <c r="U1447" s="22">
        <v>32.610000599999999</v>
      </c>
      <c r="V1447" s="22">
        <v>31.700000800000002</v>
      </c>
      <c r="W1447" s="22">
        <v>32.209999099999997</v>
      </c>
      <c r="X1447" s="22">
        <v>26.6903954</v>
      </c>
      <c r="Y1447" s="22">
        <v>517300</v>
      </c>
      <c r="Z1447" s="22">
        <v>-1.2403E-3</v>
      </c>
    </row>
    <row r="1448" spans="19:26" ht="16" x14ac:dyDescent="0.2">
      <c r="S1448" s="23">
        <v>44237</v>
      </c>
      <c r="T1448" s="22">
        <v>32.540000900000003</v>
      </c>
      <c r="U1448" s="22">
        <v>32.689998600000003</v>
      </c>
      <c r="V1448" s="22">
        <v>31.790000899999999</v>
      </c>
      <c r="W1448" s="22">
        <v>32.380001100000001</v>
      </c>
      <c r="X1448" s="22">
        <v>26.831270199999999</v>
      </c>
      <c r="Y1448" s="22">
        <v>462900</v>
      </c>
      <c r="Z1448" s="22">
        <v>5.2781099999999999E-3</v>
      </c>
    </row>
    <row r="1449" spans="19:26" ht="16" x14ac:dyDescent="0.2">
      <c r="S1449" s="23">
        <v>44238</v>
      </c>
      <c r="T1449" s="22">
        <v>32.459999099999997</v>
      </c>
      <c r="U1449" s="22">
        <v>32.549999200000002</v>
      </c>
      <c r="V1449" s="22">
        <v>31.5699997</v>
      </c>
      <c r="W1449" s="22">
        <v>32.119998899999999</v>
      </c>
      <c r="X1449" s="22">
        <v>26.6158161</v>
      </c>
      <c r="Y1449" s="22">
        <v>379300</v>
      </c>
      <c r="Z1449" s="22">
        <v>-8.0300000000000007E-3</v>
      </c>
    </row>
    <row r="1450" spans="19:26" ht="16" x14ac:dyDescent="0.2">
      <c r="S1450" s="23">
        <v>44239</v>
      </c>
      <c r="T1450" s="22">
        <v>31.920000099999999</v>
      </c>
      <c r="U1450" s="22">
        <v>32.610000599999999</v>
      </c>
      <c r="V1450" s="22">
        <v>31.8700008</v>
      </c>
      <c r="W1450" s="22">
        <v>32.560001399999997</v>
      </c>
      <c r="X1450" s="22">
        <v>26.9804192</v>
      </c>
      <c r="Y1450" s="22">
        <v>518600</v>
      </c>
      <c r="Z1450" s="22">
        <v>1.3698739999999999E-2</v>
      </c>
    </row>
    <row r="1451" spans="19:26" ht="16" x14ac:dyDescent="0.2">
      <c r="S1451" s="23">
        <v>44243</v>
      </c>
      <c r="T1451" s="22">
        <v>32.650001500000002</v>
      </c>
      <c r="U1451" s="22">
        <v>32.720001199999999</v>
      </c>
      <c r="V1451" s="22">
        <v>31.590000199999999</v>
      </c>
      <c r="W1451" s="22">
        <v>31.860000599999999</v>
      </c>
      <c r="X1451" s="22">
        <v>26.400373500000001</v>
      </c>
      <c r="Y1451" s="22">
        <v>639700</v>
      </c>
      <c r="Z1451" s="22">
        <v>-2.1498799999999998E-2</v>
      </c>
    </row>
    <row r="1452" spans="19:26" ht="16" x14ac:dyDescent="0.2">
      <c r="S1452" s="23">
        <v>44244</v>
      </c>
      <c r="T1452" s="22">
        <v>31.860000599999999</v>
      </c>
      <c r="U1452" s="22">
        <v>31.979999500000002</v>
      </c>
      <c r="V1452" s="22">
        <v>31.360000599999999</v>
      </c>
      <c r="W1452" s="22">
        <v>31.649999600000001</v>
      </c>
      <c r="X1452" s="22">
        <v>26.2263603</v>
      </c>
      <c r="Y1452" s="22">
        <v>762300</v>
      </c>
      <c r="Z1452" s="22">
        <v>-6.5912999999999996E-3</v>
      </c>
    </row>
    <row r="1453" spans="19:26" ht="16" x14ac:dyDescent="0.2">
      <c r="S1453" s="23">
        <v>44245</v>
      </c>
      <c r="T1453" s="22">
        <v>31.4400005</v>
      </c>
      <c r="U1453" s="22">
        <v>31.729999500000002</v>
      </c>
      <c r="V1453" s="22">
        <v>31.1299992</v>
      </c>
      <c r="W1453" s="22">
        <v>31.290000899999999</v>
      </c>
      <c r="X1453" s="22">
        <v>25.928049099999999</v>
      </c>
      <c r="Y1453" s="22">
        <v>460600</v>
      </c>
      <c r="Z1453" s="22">
        <v>-1.1374499999999999E-2</v>
      </c>
    </row>
    <row r="1454" spans="19:26" ht="16" x14ac:dyDescent="0.2">
      <c r="S1454" s="23">
        <v>44246</v>
      </c>
      <c r="T1454" s="22">
        <v>31.360000599999999</v>
      </c>
      <c r="U1454" s="22">
        <v>31.860000599999999</v>
      </c>
      <c r="V1454" s="22">
        <v>31.079999900000001</v>
      </c>
      <c r="W1454" s="22">
        <v>31.6900005</v>
      </c>
      <c r="X1454" s="22">
        <v>26.2595043</v>
      </c>
      <c r="Y1454" s="22">
        <v>597400</v>
      </c>
      <c r="Z1454" s="22">
        <v>1.2783650000000001E-2</v>
      </c>
    </row>
    <row r="1455" spans="19:26" ht="16" x14ac:dyDescent="0.2">
      <c r="S1455" s="23">
        <v>44249</v>
      </c>
      <c r="T1455" s="22">
        <v>31.450000800000002</v>
      </c>
      <c r="U1455" s="22">
        <v>31.639999400000001</v>
      </c>
      <c r="V1455" s="22">
        <v>29.520000499999998</v>
      </c>
      <c r="W1455" s="22">
        <v>29.6299992</v>
      </c>
      <c r="X1455" s="22">
        <v>24.552509300000001</v>
      </c>
      <c r="Y1455" s="22">
        <v>951100</v>
      </c>
      <c r="Z1455" s="22">
        <v>-6.5004800000000001E-2</v>
      </c>
    </row>
    <row r="1456" spans="19:26" ht="16" x14ac:dyDescent="0.2">
      <c r="S1456" s="23">
        <v>44250</v>
      </c>
      <c r="T1456" s="22">
        <v>29.2600002</v>
      </c>
      <c r="U1456" s="22">
        <v>29.6200008</v>
      </c>
      <c r="V1456" s="22">
        <v>28.670000099999999</v>
      </c>
      <c r="W1456" s="22">
        <v>29.079999900000001</v>
      </c>
      <c r="X1456" s="22">
        <v>24.096761699999998</v>
      </c>
      <c r="Y1456" s="22">
        <v>1011200</v>
      </c>
      <c r="Z1456" s="22">
        <v>-1.8562200000000001E-2</v>
      </c>
    </row>
    <row r="1457" spans="19:26" ht="16" x14ac:dyDescent="0.2">
      <c r="S1457" s="23">
        <v>44251</v>
      </c>
      <c r="T1457" s="22">
        <v>29.1200008</v>
      </c>
      <c r="U1457" s="22">
        <v>29.469999300000001</v>
      </c>
      <c r="V1457" s="22">
        <v>28.860000599999999</v>
      </c>
      <c r="W1457" s="22">
        <v>29.200000800000002</v>
      </c>
      <c r="X1457" s="22">
        <v>24.1961975</v>
      </c>
      <c r="Y1457" s="22">
        <v>1454900</v>
      </c>
      <c r="Z1457" s="22">
        <v>4.1265199999999998E-3</v>
      </c>
    </row>
    <row r="1458" spans="19:26" ht="16" x14ac:dyDescent="0.2">
      <c r="S1458" s="23">
        <v>44252</v>
      </c>
      <c r="T1458" s="22">
        <v>29.0100002</v>
      </c>
      <c r="U1458" s="22">
        <v>29.290000899999999</v>
      </c>
      <c r="V1458" s="22">
        <v>28.0699997</v>
      </c>
      <c r="W1458" s="22">
        <v>28.1299992</v>
      </c>
      <c r="X1458" s="22">
        <v>23.309553099999999</v>
      </c>
      <c r="Y1458" s="22">
        <v>1011300</v>
      </c>
      <c r="Z1458" s="22">
        <v>-3.6644000000000003E-2</v>
      </c>
    </row>
    <row r="1459" spans="19:26" ht="16" x14ac:dyDescent="0.2">
      <c r="S1459" s="23">
        <v>44253</v>
      </c>
      <c r="T1459" s="22">
        <v>27.840000199999999</v>
      </c>
      <c r="U1459" s="22">
        <v>28.170000099999999</v>
      </c>
      <c r="V1459" s="22">
        <v>27.25</v>
      </c>
      <c r="W1459" s="22">
        <v>27.459999100000001</v>
      </c>
      <c r="X1459" s="22">
        <v>23.019508399999999</v>
      </c>
      <c r="Y1459" s="22">
        <v>1042600</v>
      </c>
      <c r="Z1459" s="22">
        <v>-1.24432E-2</v>
      </c>
    </row>
    <row r="1460" spans="19:26" ht="16" x14ac:dyDescent="0.2">
      <c r="S1460" s="23">
        <v>44256</v>
      </c>
      <c r="T1460" s="22">
        <v>28.149999600000001</v>
      </c>
      <c r="U1460" s="22">
        <v>29.090000199999999</v>
      </c>
      <c r="V1460" s="22">
        <v>27.780000699999999</v>
      </c>
      <c r="W1460" s="22">
        <v>28.8099995</v>
      </c>
      <c r="X1460" s="22">
        <v>24.151201199999999</v>
      </c>
      <c r="Y1460" s="22">
        <v>850800</v>
      </c>
      <c r="Z1460" s="22">
        <v>4.9162339999999999E-2</v>
      </c>
    </row>
    <row r="1461" spans="19:26" ht="16" x14ac:dyDescent="0.2">
      <c r="S1461" s="23">
        <v>44257</v>
      </c>
      <c r="T1461" s="22">
        <v>29.030000699999999</v>
      </c>
      <c r="U1461" s="22">
        <v>29.0599995</v>
      </c>
      <c r="V1461" s="22">
        <v>28.399999600000001</v>
      </c>
      <c r="W1461" s="22">
        <v>28.450000800000002</v>
      </c>
      <c r="X1461" s="22">
        <v>23.8494186</v>
      </c>
      <c r="Y1461" s="22">
        <v>988900</v>
      </c>
      <c r="Z1461" s="22">
        <v>-1.2495600000000001E-2</v>
      </c>
    </row>
    <row r="1462" spans="19:26" ht="16" x14ac:dyDescent="0.2">
      <c r="S1462" s="23">
        <v>44258</v>
      </c>
      <c r="T1462" s="22">
        <v>28.340000199999999</v>
      </c>
      <c r="U1462" s="22">
        <v>28.5599995</v>
      </c>
      <c r="V1462" s="22">
        <v>27.670000099999999</v>
      </c>
      <c r="W1462" s="22">
        <v>28</v>
      </c>
      <c r="X1462" s="22">
        <v>23.472185100000001</v>
      </c>
      <c r="Y1462" s="22">
        <v>858500</v>
      </c>
      <c r="Z1462" s="22">
        <v>-1.5817299999999999E-2</v>
      </c>
    </row>
    <row r="1463" spans="19:26" ht="16" x14ac:dyDescent="0.2">
      <c r="S1463" s="23">
        <v>44259</v>
      </c>
      <c r="T1463" s="22">
        <v>27.8199997</v>
      </c>
      <c r="U1463" s="22">
        <v>28.579999900000001</v>
      </c>
      <c r="V1463" s="22">
        <v>26.6800003</v>
      </c>
      <c r="W1463" s="22">
        <v>27.3799992</v>
      </c>
      <c r="X1463" s="22">
        <v>22.952444100000001</v>
      </c>
      <c r="Y1463" s="22">
        <v>1498700</v>
      </c>
      <c r="Z1463" s="22">
        <v>-2.2142800000000001E-2</v>
      </c>
    </row>
    <row r="1464" spans="19:26" ht="16" x14ac:dyDescent="0.2">
      <c r="S1464" s="23">
        <v>44260</v>
      </c>
      <c r="T1464" s="22">
        <v>27.770000499999998</v>
      </c>
      <c r="U1464" s="22">
        <v>27.770000499999998</v>
      </c>
      <c r="V1464" s="22">
        <v>26.200000800000002</v>
      </c>
      <c r="W1464" s="22">
        <v>27.1900005</v>
      </c>
      <c r="X1464" s="22">
        <v>22.7931709</v>
      </c>
      <c r="Y1464" s="22">
        <v>1363600</v>
      </c>
      <c r="Z1464" s="22">
        <v>-6.9392999999999998E-3</v>
      </c>
    </row>
    <row r="1465" spans="19:26" ht="16" x14ac:dyDescent="0.2">
      <c r="S1465" s="23">
        <v>44263</v>
      </c>
      <c r="T1465" s="22">
        <v>27.270000499999998</v>
      </c>
      <c r="U1465" s="22">
        <v>28.3700008</v>
      </c>
      <c r="V1465" s="22">
        <v>26.950000800000002</v>
      </c>
      <c r="W1465" s="22">
        <v>27.4899998</v>
      </c>
      <c r="X1465" s="22">
        <v>23.0446548</v>
      </c>
      <c r="Y1465" s="22">
        <v>1089900</v>
      </c>
      <c r="Z1465" s="22">
        <v>1.1033299999999999E-2</v>
      </c>
    </row>
    <row r="1466" spans="19:26" ht="16" x14ac:dyDescent="0.2">
      <c r="S1466" s="23">
        <v>44264</v>
      </c>
      <c r="T1466" s="22">
        <v>28.299999199999998</v>
      </c>
      <c r="U1466" s="22">
        <v>29.0100002</v>
      </c>
      <c r="V1466" s="22">
        <v>27.959999100000001</v>
      </c>
      <c r="W1466" s="22">
        <v>28.590000199999999</v>
      </c>
      <c r="X1466" s="22">
        <v>23.966781600000001</v>
      </c>
      <c r="Y1466" s="22">
        <v>868800</v>
      </c>
      <c r="Z1466" s="22">
        <v>4.001478E-2</v>
      </c>
    </row>
    <row r="1467" spans="19:26" ht="16" x14ac:dyDescent="0.2">
      <c r="S1467" s="23">
        <v>44265</v>
      </c>
      <c r="T1467" s="22">
        <v>28.649999600000001</v>
      </c>
      <c r="U1467" s="22">
        <v>29.3799992</v>
      </c>
      <c r="V1467" s="22">
        <v>28.270000499999998</v>
      </c>
      <c r="W1467" s="22">
        <v>28.3199997</v>
      </c>
      <c r="X1467" s="22">
        <v>23.740440400000001</v>
      </c>
      <c r="Y1467" s="22">
        <v>575000</v>
      </c>
      <c r="Z1467" s="22">
        <v>-9.4439999999999993E-3</v>
      </c>
    </row>
    <row r="1468" spans="19:26" ht="16" x14ac:dyDescent="0.2">
      <c r="S1468" s="23">
        <v>44266</v>
      </c>
      <c r="T1468" s="22">
        <v>28.549999199999998</v>
      </c>
      <c r="U1468" s="22">
        <v>28.829999900000001</v>
      </c>
      <c r="V1468" s="22">
        <v>28</v>
      </c>
      <c r="W1468" s="22">
        <v>28.639999400000001</v>
      </c>
      <c r="X1468" s="22">
        <v>24.008693699999998</v>
      </c>
      <c r="Y1468" s="22">
        <v>720900</v>
      </c>
      <c r="Z1468" s="22">
        <v>1.1299429999999999E-2</v>
      </c>
    </row>
    <row r="1469" spans="19:26" ht="16" x14ac:dyDescent="0.2">
      <c r="S1469" s="23">
        <v>44267</v>
      </c>
      <c r="T1469" s="22">
        <v>28.5</v>
      </c>
      <c r="U1469" s="22">
        <v>28.7399998</v>
      </c>
      <c r="V1469" s="22">
        <v>28</v>
      </c>
      <c r="W1469" s="22">
        <v>28.5599995</v>
      </c>
      <c r="X1469" s="22">
        <v>23.941627499999999</v>
      </c>
      <c r="Y1469" s="22">
        <v>1281100</v>
      </c>
      <c r="Z1469" s="22">
        <v>-2.7934000000000001E-3</v>
      </c>
    </row>
    <row r="1470" spans="19:26" ht="16" x14ac:dyDescent="0.2">
      <c r="S1470" s="23">
        <v>44270</v>
      </c>
      <c r="T1470" s="22">
        <v>28.4300003</v>
      </c>
      <c r="U1470" s="22">
        <v>28.829999900000001</v>
      </c>
      <c r="V1470" s="22">
        <v>28.3199997</v>
      </c>
      <c r="W1470" s="22">
        <v>28.829999900000001</v>
      </c>
      <c r="X1470" s="22">
        <v>24.167968800000001</v>
      </c>
      <c r="Y1470" s="22">
        <v>1056500</v>
      </c>
      <c r="Z1470" s="22">
        <v>9.4538799999999996E-3</v>
      </c>
    </row>
    <row r="1471" spans="19:26" ht="16" x14ac:dyDescent="0.2">
      <c r="S1471" s="23">
        <v>44271</v>
      </c>
      <c r="T1471" s="22">
        <v>28.75</v>
      </c>
      <c r="U1471" s="22">
        <v>28.889999400000001</v>
      </c>
      <c r="V1471" s="22">
        <v>28.110000599999999</v>
      </c>
      <c r="W1471" s="22">
        <v>28.3199997</v>
      </c>
      <c r="X1471" s="22">
        <v>23.740440400000001</v>
      </c>
      <c r="Y1471" s="22">
        <v>950400</v>
      </c>
      <c r="Z1471" s="22">
        <v>-1.7689900000000001E-2</v>
      </c>
    </row>
    <row r="1472" spans="19:26" ht="16" x14ac:dyDescent="0.2">
      <c r="S1472" s="23">
        <v>44272</v>
      </c>
      <c r="T1472" s="22">
        <v>28</v>
      </c>
      <c r="U1472" s="22">
        <v>28</v>
      </c>
      <c r="V1472" s="22">
        <v>26.610000599999999</v>
      </c>
      <c r="W1472" s="22">
        <v>26.9400005</v>
      </c>
      <c r="X1472" s="22">
        <v>22.583595299999999</v>
      </c>
      <c r="Y1472" s="22">
        <v>1578500</v>
      </c>
      <c r="Z1472" s="22">
        <v>-4.8728899999999999E-2</v>
      </c>
    </row>
    <row r="1473" spans="19:26" ht="16" x14ac:dyDescent="0.2">
      <c r="S1473" s="23">
        <v>44273</v>
      </c>
      <c r="T1473" s="22">
        <v>26.9400005</v>
      </c>
      <c r="U1473" s="22">
        <v>27.020000499999998</v>
      </c>
      <c r="V1473" s="22">
        <v>26</v>
      </c>
      <c r="W1473" s="22">
        <v>26.100000399999999</v>
      </c>
      <c r="X1473" s="22">
        <v>21.879432699999999</v>
      </c>
      <c r="Y1473" s="22">
        <v>1313400</v>
      </c>
      <c r="Z1473" s="22">
        <v>-3.1180300000000001E-2</v>
      </c>
    </row>
    <row r="1474" spans="19:26" ht="16" x14ac:dyDescent="0.2">
      <c r="S1474" s="23">
        <v>44274</v>
      </c>
      <c r="T1474" s="22">
        <v>26.159999800000001</v>
      </c>
      <c r="U1474" s="22">
        <v>26.799999199999998</v>
      </c>
      <c r="V1474" s="22">
        <v>25.799999199999998</v>
      </c>
      <c r="W1474" s="22">
        <v>26.530000699999999</v>
      </c>
      <c r="X1474" s="22">
        <v>22.2398968</v>
      </c>
      <c r="Y1474" s="22">
        <v>4394600</v>
      </c>
      <c r="Z1474" s="22">
        <v>1.647502E-2</v>
      </c>
    </row>
    <row r="1475" spans="19:26" ht="16" x14ac:dyDescent="0.2">
      <c r="S1475" s="23">
        <v>44277</v>
      </c>
      <c r="T1475" s="22">
        <v>26.7600002</v>
      </c>
      <c r="U1475" s="22">
        <v>26.9400005</v>
      </c>
      <c r="V1475" s="22">
        <v>26.100000399999999</v>
      </c>
      <c r="W1475" s="22">
        <v>26.549999199999998</v>
      </c>
      <c r="X1475" s="22">
        <v>22.2566624</v>
      </c>
      <c r="Y1475" s="22">
        <v>1025700</v>
      </c>
      <c r="Z1475" s="22">
        <v>7.5385000000000003E-4</v>
      </c>
    </row>
    <row r="1476" spans="19:26" ht="16" x14ac:dyDescent="0.2">
      <c r="S1476" s="23">
        <v>44278</v>
      </c>
      <c r="T1476" s="22">
        <v>26.459999100000001</v>
      </c>
      <c r="U1476" s="22">
        <v>26.6200008</v>
      </c>
      <c r="V1476" s="22">
        <v>26.229999500000002</v>
      </c>
      <c r="W1476" s="22">
        <v>26.329999900000001</v>
      </c>
      <c r="X1476" s="22">
        <v>22.072238899999999</v>
      </c>
      <c r="Y1476" s="22">
        <v>916500</v>
      </c>
      <c r="Z1476" s="22">
        <v>-8.2862000000000005E-3</v>
      </c>
    </row>
    <row r="1477" spans="19:26" ht="16" x14ac:dyDescent="0.2">
      <c r="S1477" s="23">
        <v>44279</v>
      </c>
      <c r="T1477" s="22">
        <v>26.270000499999998</v>
      </c>
      <c r="U1477" s="22">
        <v>26.520000499999998</v>
      </c>
      <c r="V1477" s="22">
        <v>25.8799992</v>
      </c>
      <c r="W1477" s="22">
        <v>25.8799992</v>
      </c>
      <c r="X1477" s="22">
        <v>21.6950073</v>
      </c>
      <c r="Y1477" s="22">
        <v>872700</v>
      </c>
      <c r="Z1477" s="22">
        <v>-1.70908E-2</v>
      </c>
    </row>
    <row r="1478" spans="19:26" ht="16" x14ac:dyDescent="0.2">
      <c r="S1478" s="23">
        <v>44280</v>
      </c>
      <c r="T1478" s="22">
        <v>26.159999800000001</v>
      </c>
      <c r="U1478" s="22">
        <v>27.1200008</v>
      </c>
      <c r="V1478" s="22">
        <v>25.899999600000001</v>
      </c>
      <c r="W1478" s="22">
        <v>26.979999500000002</v>
      </c>
      <c r="X1478" s="22">
        <v>22.617128399999999</v>
      </c>
      <c r="Y1478" s="22">
        <v>968500</v>
      </c>
      <c r="Z1478" s="22">
        <v>4.2503840000000001E-2</v>
      </c>
    </row>
    <row r="1479" spans="19:26" ht="16" x14ac:dyDescent="0.2">
      <c r="S1479" s="23">
        <v>44281</v>
      </c>
      <c r="T1479" s="22">
        <v>26.909999800000001</v>
      </c>
      <c r="U1479" s="22">
        <v>27.530000699999999</v>
      </c>
      <c r="V1479" s="22">
        <v>26.729999500000002</v>
      </c>
      <c r="W1479" s="22">
        <v>27.450000800000002</v>
      </c>
      <c r="X1479" s="22">
        <v>23.011127500000001</v>
      </c>
      <c r="Y1479" s="22">
        <v>892600</v>
      </c>
      <c r="Z1479" s="22">
        <v>1.7420390000000001E-2</v>
      </c>
    </row>
    <row r="1480" spans="19:26" ht="16" x14ac:dyDescent="0.2">
      <c r="S1480" s="23">
        <v>44284</v>
      </c>
      <c r="T1480" s="22">
        <v>27.4400005</v>
      </c>
      <c r="U1480" s="22">
        <v>27.790000899999999</v>
      </c>
      <c r="V1480" s="22">
        <v>27.299999199999998</v>
      </c>
      <c r="W1480" s="22">
        <v>27.459999100000001</v>
      </c>
      <c r="X1480" s="22">
        <v>23.019508399999999</v>
      </c>
      <c r="Y1480" s="22">
        <v>923000</v>
      </c>
      <c r="Z1480" s="22">
        <v>3.6421000000000001E-4</v>
      </c>
    </row>
    <row r="1481" spans="19:26" ht="16" x14ac:dyDescent="0.2">
      <c r="S1481" s="23">
        <v>44285</v>
      </c>
      <c r="T1481" s="22">
        <v>27.479999500000002</v>
      </c>
      <c r="U1481" s="22">
        <v>27.959999100000001</v>
      </c>
      <c r="V1481" s="22">
        <v>27.329999900000001</v>
      </c>
      <c r="W1481" s="22">
        <v>27.8099995</v>
      </c>
      <c r="X1481" s="22">
        <v>23.3129101</v>
      </c>
      <c r="Y1481" s="22">
        <v>645400</v>
      </c>
      <c r="Z1481" s="22">
        <v>1.274579E-2</v>
      </c>
    </row>
    <row r="1482" spans="19:26" ht="16" x14ac:dyDescent="0.2">
      <c r="S1482" s="23">
        <v>44286</v>
      </c>
      <c r="T1482" s="22">
        <v>28.159999800000001</v>
      </c>
      <c r="U1482" s="22">
        <v>28.450000800000002</v>
      </c>
      <c r="V1482" s="22">
        <v>27.959999100000001</v>
      </c>
      <c r="W1482" s="22">
        <v>28.139999400000001</v>
      </c>
      <c r="X1482" s="22">
        <v>23.589542399999999</v>
      </c>
      <c r="Y1482" s="22">
        <v>1155700</v>
      </c>
      <c r="Z1482" s="22">
        <v>1.1866059999999999E-2</v>
      </c>
    </row>
    <row r="1483" spans="19:26" ht="16" x14ac:dyDescent="0.2">
      <c r="S1483" s="23">
        <v>44287</v>
      </c>
      <c r="T1483" s="22">
        <v>28.399999600000001</v>
      </c>
      <c r="U1483" s="22">
        <v>28.8700008</v>
      </c>
      <c r="V1483" s="22">
        <v>28.1299992</v>
      </c>
      <c r="W1483" s="22">
        <v>28.860000599999999</v>
      </c>
      <c r="X1483" s="22">
        <v>24.193115200000001</v>
      </c>
      <c r="Y1483" s="22">
        <v>766800</v>
      </c>
      <c r="Z1483" s="22">
        <v>2.5586459999999998E-2</v>
      </c>
    </row>
    <row r="1484" spans="19:26" ht="16" x14ac:dyDescent="0.2">
      <c r="S1484" s="23">
        <v>44291</v>
      </c>
      <c r="T1484" s="22">
        <v>29.1800003</v>
      </c>
      <c r="U1484" s="22">
        <v>29.1800003</v>
      </c>
      <c r="V1484" s="22">
        <v>27.920000099999999</v>
      </c>
      <c r="W1484" s="22">
        <v>28.1900005</v>
      </c>
      <c r="X1484" s="22">
        <v>23.631460199999999</v>
      </c>
      <c r="Y1484" s="22">
        <v>1092200</v>
      </c>
      <c r="Z1484" s="22">
        <v>-2.32155E-2</v>
      </c>
    </row>
    <row r="1485" spans="19:26" ht="16" x14ac:dyDescent="0.2">
      <c r="S1485" s="23">
        <v>44292</v>
      </c>
      <c r="T1485" s="22">
        <v>28.079999900000001</v>
      </c>
      <c r="U1485" s="22">
        <v>28.8700008</v>
      </c>
      <c r="V1485" s="22">
        <v>27.9300003</v>
      </c>
      <c r="W1485" s="22">
        <v>28.700000800000002</v>
      </c>
      <c r="X1485" s="22">
        <v>24.058992400000001</v>
      </c>
      <c r="Y1485" s="22">
        <v>688400</v>
      </c>
      <c r="Z1485" s="22">
        <v>1.8091650000000001E-2</v>
      </c>
    </row>
    <row r="1486" spans="19:26" ht="16" x14ac:dyDescent="0.2">
      <c r="S1486" s="23">
        <v>44293</v>
      </c>
      <c r="T1486" s="22">
        <v>28.579999900000001</v>
      </c>
      <c r="U1486" s="22">
        <v>28.649999600000001</v>
      </c>
      <c r="V1486" s="22">
        <v>28.1299992</v>
      </c>
      <c r="W1486" s="22">
        <v>28.420000099999999</v>
      </c>
      <c r="X1486" s="22">
        <v>23.824272199999999</v>
      </c>
      <c r="Y1486" s="22">
        <v>709000</v>
      </c>
      <c r="Z1486" s="22">
        <v>-9.7560000000000008E-3</v>
      </c>
    </row>
    <row r="1487" spans="19:26" ht="16" x14ac:dyDescent="0.2">
      <c r="S1487" s="23">
        <v>44294</v>
      </c>
      <c r="T1487" s="22">
        <v>28.5</v>
      </c>
      <c r="U1487" s="22">
        <v>28.9400005</v>
      </c>
      <c r="V1487" s="22">
        <v>28.3199997</v>
      </c>
      <c r="W1487" s="22">
        <v>28.790000899999999</v>
      </c>
      <c r="X1487" s="22">
        <v>24.134439499999999</v>
      </c>
      <c r="Y1487" s="22">
        <v>811200</v>
      </c>
      <c r="Z1487" s="22">
        <v>1.301896E-2</v>
      </c>
    </row>
    <row r="1488" spans="19:26" ht="16" x14ac:dyDescent="0.2">
      <c r="S1488" s="23">
        <v>44295</v>
      </c>
      <c r="T1488" s="22">
        <v>28.6900005</v>
      </c>
      <c r="U1488" s="22">
        <v>28.8700008</v>
      </c>
      <c r="V1488" s="22">
        <v>28.600000399999999</v>
      </c>
      <c r="W1488" s="22">
        <v>28.6900005</v>
      </c>
      <c r="X1488" s="22">
        <v>24.050609600000001</v>
      </c>
      <c r="Y1488" s="22">
        <v>560700</v>
      </c>
      <c r="Z1488" s="22">
        <v>-3.4735E-3</v>
      </c>
    </row>
    <row r="1489" spans="19:26" ht="16" x14ac:dyDescent="0.2">
      <c r="S1489" s="23">
        <v>44298</v>
      </c>
      <c r="T1489" s="22">
        <v>28.6900005</v>
      </c>
      <c r="U1489" s="22">
        <v>28.6900005</v>
      </c>
      <c r="V1489" s="22">
        <v>28.0599995</v>
      </c>
      <c r="W1489" s="22">
        <v>28.139999400000001</v>
      </c>
      <c r="X1489" s="22">
        <v>23.589542399999999</v>
      </c>
      <c r="Y1489" s="22">
        <v>604800</v>
      </c>
      <c r="Z1489" s="22">
        <v>-1.9170699999999999E-2</v>
      </c>
    </row>
    <row r="1490" spans="19:26" ht="16" x14ac:dyDescent="0.2">
      <c r="S1490" s="23">
        <v>44299</v>
      </c>
      <c r="T1490" s="22">
        <v>28.090000199999999</v>
      </c>
      <c r="U1490" s="22">
        <v>28.5599995</v>
      </c>
      <c r="V1490" s="22">
        <v>27.799999199999998</v>
      </c>
      <c r="W1490" s="22">
        <v>28.530000699999999</v>
      </c>
      <c r="X1490" s="22">
        <v>23.916482899999998</v>
      </c>
      <c r="Y1490" s="22">
        <v>694200</v>
      </c>
      <c r="Z1490" s="22">
        <v>1.385955E-2</v>
      </c>
    </row>
    <row r="1491" spans="19:26" ht="16" x14ac:dyDescent="0.2">
      <c r="S1491" s="23">
        <v>44300</v>
      </c>
      <c r="T1491" s="22">
        <v>28.5699997</v>
      </c>
      <c r="U1491" s="22">
        <v>29.049999199999998</v>
      </c>
      <c r="V1491" s="22">
        <v>28.389999400000001</v>
      </c>
      <c r="W1491" s="22">
        <v>28.4899998</v>
      </c>
      <c r="X1491" s="22">
        <v>23.8829517</v>
      </c>
      <c r="Y1491" s="22">
        <v>438900</v>
      </c>
      <c r="Z1491" s="22">
        <v>-1.402E-3</v>
      </c>
    </row>
    <row r="1492" spans="19:26" ht="16" x14ac:dyDescent="0.2">
      <c r="S1492" s="23">
        <v>44301</v>
      </c>
      <c r="T1492" s="22">
        <v>28.610000599999999</v>
      </c>
      <c r="U1492" s="22">
        <v>28.829999900000001</v>
      </c>
      <c r="V1492" s="22">
        <v>28.450000800000002</v>
      </c>
      <c r="W1492" s="22">
        <v>28.719999300000001</v>
      </c>
      <c r="X1492" s="22">
        <v>24.0757561</v>
      </c>
      <c r="Y1492" s="22">
        <v>417700</v>
      </c>
      <c r="Z1492" s="22">
        <v>8.0728899999999992E-3</v>
      </c>
    </row>
    <row r="1493" spans="19:26" ht="16" x14ac:dyDescent="0.2">
      <c r="S1493" s="23">
        <v>44302</v>
      </c>
      <c r="T1493" s="22">
        <v>28.9899998</v>
      </c>
      <c r="U1493" s="22">
        <v>28.9899998</v>
      </c>
      <c r="V1493" s="22">
        <v>28.329999900000001</v>
      </c>
      <c r="W1493" s="22">
        <v>28.75</v>
      </c>
      <c r="X1493" s="22">
        <v>24.1009083</v>
      </c>
      <c r="Y1493" s="22">
        <v>742600</v>
      </c>
      <c r="Z1493" s="22">
        <v>1.0447099999999999E-3</v>
      </c>
    </row>
    <row r="1494" spans="19:26" ht="16" x14ac:dyDescent="0.2">
      <c r="S1494" s="23">
        <v>44305</v>
      </c>
      <c r="T1494" s="22">
        <v>28.5599995</v>
      </c>
      <c r="U1494" s="22">
        <v>28.8799992</v>
      </c>
      <c r="V1494" s="22">
        <v>28.200000800000002</v>
      </c>
      <c r="W1494" s="22">
        <v>28.600000399999999</v>
      </c>
      <c r="X1494" s="22">
        <v>23.9751625</v>
      </c>
      <c r="Y1494" s="22">
        <v>1201700</v>
      </c>
      <c r="Z1494" s="22">
        <v>-5.2174999999999999E-3</v>
      </c>
    </row>
    <row r="1495" spans="19:26" ht="16" x14ac:dyDescent="0.2">
      <c r="S1495" s="23">
        <v>44306</v>
      </c>
      <c r="T1495" s="22">
        <v>28.530000699999999</v>
      </c>
      <c r="U1495" s="22">
        <v>29.040000899999999</v>
      </c>
      <c r="V1495" s="22">
        <v>27.920000099999999</v>
      </c>
      <c r="W1495" s="22">
        <v>28.389999400000001</v>
      </c>
      <c r="X1495" s="22">
        <v>23.799119900000001</v>
      </c>
      <c r="Y1495" s="22">
        <v>1060600</v>
      </c>
      <c r="Z1495" s="22">
        <v>-7.3426999999999997E-3</v>
      </c>
    </row>
    <row r="1496" spans="19:26" ht="16" x14ac:dyDescent="0.2">
      <c r="S1496" s="23">
        <v>44307</v>
      </c>
      <c r="T1496" s="22">
        <v>28.4300003</v>
      </c>
      <c r="U1496" s="22">
        <v>28.670000099999999</v>
      </c>
      <c r="V1496" s="22">
        <v>28.209999100000001</v>
      </c>
      <c r="W1496" s="22">
        <v>28.530000699999999</v>
      </c>
      <c r="X1496" s="22">
        <v>23.916482899999998</v>
      </c>
      <c r="Y1496" s="22">
        <v>633200</v>
      </c>
      <c r="Z1496" s="22">
        <v>4.9313999999999998E-3</v>
      </c>
    </row>
    <row r="1497" spans="19:26" ht="16" x14ac:dyDescent="0.2">
      <c r="S1497" s="23">
        <v>44308</v>
      </c>
      <c r="T1497" s="22">
        <v>28.709999100000001</v>
      </c>
      <c r="U1497" s="22">
        <v>29.100000399999999</v>
      </c>
      <c r="V1497" s="22">
        <v>28.450000800000002</v>
      </c>
      <c r="W1497" s="22">
        <v>28.6800003</v>
      </c>
      <c r="X1497" s="22">
        <v>24.042224900000001</v>
      </c>
      <c r="Y1497" s="22">
        <v>831200</v>
      </c>
      <c r="Z1497" s="22">
        <v>5.2575399999999998E-3</v>
      </c>
    </row>
    <row r="1498" spans="19:26" ht="16" x14ac:dyDescent="0.2">
      <c r="S1498" s="23">
        <v>44309</v>
      </c>
      <c r="T1498" s="22">
        <v>28.9899998</v>
      </c>
      <c r="U1498" s="22">
        <v>29.209999100000001</v>
      </c>
      <c r="V1498" s="22">
        <v>28.700000800000002</v>
      </c>
      <c r="W1498" s="22">
        <v>29.079999900000001</v>
      </c>
      <c r="X1498" s="22">
        <v>24.377544400000001</v>
      </c>
      <c r="Y1498" s="22">
        <v>559500</v>
      </c>
      <c r="Z1498" s="22">
        <v>1.394711E-2</v>
      </c>
    </row>
    <row r="1499" spans="19:26" ht="16" x14ac:dyDescent="0.2">
      <c r="S1499" s="23">
        <v>44312</v>
      </c>
      <c r="T1499" s="22">
        <v>29.219999300000001</v>
      </c>
      <c r="U1499" s="22">
        <v>29.399999600000001</v>
      </c>
      <c r="V1499" s="22">
        <v>28.909999800000001</v>
      </c>
      <c r="W1499" s="22">
        <v>29.149999600000001</v>
      </c>
      <c r="X1499" s="22">
        <v>24.4362259</v>
      </c>
      <c r="Y1499" s="22">
        <v>400800</v>
      </c>
      <c r="Z1499" s="22">
        <v>2.40719E-3</v>
      </c>
    </row>
    <row r="1500" spans="19:26" ht="16" x14ac:dyDescent="0.2">
      <c r="S1500" s="23">
        <v>44313</v>
      </c>
      <c r="T1500" s="22">
        <v>29.2399998</v>
      </c>
      <c r="U1500" s="22">
        <v>29.299999199999998</v>
      </c>
      <c r="V1500" s="22">
        <v>28.979999500000002</v>
      </c>
      <c r="W1500" s="22">
        <v>29.040000899999999</v>
      </c>
      <c r="X1500" s="22">
        <v>24.344011299999998</v>
      </c>
      <c r="Y1500" s="22">
        <v>498200</v>
      </c>
      <c r="Z1500" s="22">
        <v>-3.7737000000000001E-3</v>
      </c>
    </row>
    <row r="1501" spans="19:26" ht="16" x14ac:dyDescent="0.2">
      <c r="S1501" s="23">
        <v>44314</v>
      </c>
      <c r="T1501" s="22">
        <v>28.950000800000002</v>
      </c>
      <c r="U1501" s="22">
        <v>29.1800003</v>
      </c>
      <c r="V1501" s="22">
        <v>28.659999800000001</v>
      </c>
      <c r="W1501" s="22">
        <v>29.0599995</v>
      </c>
      <c r="X1501" s="22">
        <v>24.360775</v>
      </c>
      <c r="Y1501" s="22">
        <v>560600</v>
      </c>
      <c r="Z1501" s="22">
        <v>6.8862000000000003E-4</v>
      </c>
    </row>
    <row r="1502" spans="19:26" ht="16" x14ac:dyDescent="0.2">
      <c r="S1502" s="23">
        <v>44315</v>
      </c>
      <c r="T1502" s="22">
        <v>29.290000899999999</v>
      </c>
      <c r="U1502" s="22">
        <v>29.4400005</v>
      </c>
      <c r="V1502" s="22">
        <v>28.889999400000001</v>
      </c>
      <c r="W1502" s="22">
        <v>29.1900005</v>
      </c>
      <c r="X1502" s="22">
        <v>24.469755200000002</v>
      </c>
      <c r="Y1502" s="22">
        <v>437800</v>
      </c>
      <c r="Z1502" s="22">
        <v>4.4735900000000004E-3</v>
      </c>
    </row>
    <row r="1503" spans="19:26" ht="16" x14ac:dyDescent="0.2">
      <c r="S1503" s="23">
        <v>44316</v>
      </c>
      <c r="T1503" s="22">
        <v>28.950000800000002</v>
      </c>
      <c r="U1503" s="22">
        <v>29.299999199999998</v>
      </c>
      <c r="V1503" s="22">
        <v>28.670000099999999</v>
      </c>
      <c r="W1503" s="22">
        <v>28.6900005</v>
      </c>
      <c r="X1503" s="22">
        <v>24.050609600000001</v>
      </c>
      <c r="Y1503" s="22">
        <v>669600</v>
      </c>
      <c r="Z1503" s="22">
        <v>-1.7129100000000001E-2</v>
      </c>
    </row>
    <row r="1504" spans="19:26" ht="16" x14ac:dyDescent="0.2">
      <c r="S1504" s="23">
        <v>44319</v>
      </c>
      <c r="T1504" s="22">
        <v>28.829999900000001</v>
      </c>
      <c r="U1504" s="22">
        <v>28.899999600000001</v>
      </c>
      <c r="V1504" s="22">
        <v>28.229999500000002</v>
      </c>
      <c r="W1504" s="22">
        <v>28.549999199999998</v>
      </c>
      <c r="X1504" s="22">
        <v>23.933242799999999</v>
      </c>
      <c r="Y1504" s="22">
        <v>619700</v>
      </c>
      <c r="Z1504" s="22">
        <v>-4.8799999999999998E-3</v>
      </c>
    </row>
    <row r="1505" spans="19:26" ht="16" x14ac:dyDescent="0.2">
      <c r="S1505" s="23">
        <v>44320</v>
      </c>
      <c r="T1505" s="22">
        <v>28.3700008</v>
      </c>
      <c r="U1505" s="22">
        <v>28.459999100000001</v>
      </c>
      <c r="V1505" s="22">
        <v>28.149999600000001</v>
      </c>
      <c r="W1505" s="22">
        <v>28.450000800000002</v>
      </c>
      <c r="X1505" s="22">
        <v>23.8494186</v>
      </c>
      <c r="Y1505" s="22">
        <v>674500</v>
      </c>
      <c r="Z1505" s="22">
        <v>-3.5024000000000001E-3</v>
      </c>
    </row>
    <row r="1506" spans="19:26" ht="16" x14ac:dyDescent="0.2">
      <c r="S1506" s="23">
        <v>44321</v>
      </c>
      <c r="T1506" s="22">
        <v>28.450000800000002</v>
      </c>
      <c r="U1506" s="22">
        <v>28.450000800000002</v>
      </c>
      <c r="V1506" s="22">
        <v>27.520000499999998</v>
      </c>
      <c r="W1506" s="22">
        <v>27.659999800000001</v>
      </c>
      <c r="X1506" s="22">
        <v>23.187164299999999</v>
      </c>
      <c r="Y1506" s="22">
        <v>695100</v>
      </c>
      <c r="Z1506" s="22">
        <v>-2.77682E-2</v>
      </c>
    </row>
    <row r="1507" spans="19:26" ht="16" x14ac:dyDescent="0.2">
      <c r="S1507" s="23">
        <v>44322</v>
      </c>
      <c r="T1507" s="22">
        <v>27.340000199999999</v>
      </c>
      <c r="U1507" s="22">
        <v>27.4400005</v>
      </c>
      <c r="V1507" s="22">
        <v>26.399999600000001</v>
      </c>
      <c r="W1507" s="22">
        <v>27.340000199999999</v>
      </c>
      <c r="X1507" s="22">
        <v>22.918911000000001</v>
      </c>
      <c r="Y1507" s="22">
        <v>902100</v>
      </c>
      <c r="Z1507" s="22">
        <v>-1.1568999999999999E-2</v>
      </c>
    </row>
    <row r="1508" spans="19:26" ht="16" x14ac:dyDescent="0.2">
      <c r="S1508" s="23">
        <v>44323</v>
      </c>
      <c r="T1508" s="22">
        <v>27.5100002</v>
      </c>
      <c r="U1508" s="22">
        <v>27.659999800000001</v>
      </c>
      <c r="V1508" s="22">
        <v>26.6299992</v>
      </c>
      <c r="W1508" s="22">
        <v>26.670000099999999</v>
      </c>
      <c r="X1508" s="22">
        <v>22.357255899999998</v>
      </c>
      <c r="Y1508" s="22">
        <v>1166000</v>
      </c>
      <c r="Z1508" s="22">
        <v>-2.4506199999999999E-2</v>
      </c>
    </row>
    <row r="1509" spans="19:26" ht="16" x14ac:dyDescent="0.2">
      <c r="S1509" s="23">
        <v>44326</v>
      </c>
      <c r="T1509" s="22">
        <v>26.5699997</v>
      </c>
      <c r="U1509" s="22">
        <v>26.770000499999998</v>
      </c>
      <c r="V1509" s="22">
        <v>25.840000199999999</v>
      </c>
      <c r="W1509" s="22">
        <v>25.850000399999999</v>
      </c>
      <c r="X1509" s="22">
        <v>21.669855099999999</v>
      </c>
      <c r="Y1509" s="22">
        <v>1115600</v>
      </c>
      <c r="Z1509" s="22">
        <v>-3.0746200000000001E-2</v>
      </c>
    </row>
    <row r="1510" spans="19:26" ht="16" x14ac:dyDescent="0.2">
      <c r="S1510" s="23">
        <v>44327</v>
      </c>
      <c r="T1510" s="22">
        <v>25.479999500000002</v>
      </c>
      <c r="U1510" s="22">
        <v>25.889999400000001</v>
      </c>
      <c r="V1510" s="22">
        <v>24.9300003</v>
      </c>
      <c r="W1510" s="22">
        <v>25.340000199999999</v>
      </c>
      <c r="X1510" s="22">
        <v>21.2423325</v>
      </c>
      <c r="Y1510" s="22">
        <v>1124900</v>
      </c>
      <c r="Z1510" s="22">
        <v>-1.9728900000000001E-2</v>
      </c>
    </row>
    <row r="1511" spans="19:26" ht="16" x14ac:dyDescent="0.2">
      <c r="S1511" s="23">
        <v>44328</v>
      </c>
      <c r="T1511" s="22">
        <v>25.149999600000001</v>
      </c>
      <c r="U1511" s="22">
        <v>25.709999100000001</v>
      </c>
      <c r="V1511" s="22">
        <v>24.979999500000002</v>
      </c>
      <c r="W1511" s="22">
        <v>25.040000899999999</v>
      </c>
      <c r="X1511" s="22">
        <v>20.990839000000001</v>
      </c>
      <c r="Y1511" s="22">
        <v>1012100</v>
      </c>
      <c r="Z1511" s="22">
        <v>-1.1839300000000001E-2</v>
      </c>
    </row>
    <row r="1512" spans="19:26" ht="16" x14ac:dyDescent="0.2">
      <c r="S1512" s="23">
        <v>44329</v>
      </c>
      <c r="T1512" s="22">
        <v>25.389999400000001</v>
      </c>
      <c r="U1512" s="22">
        <v>25.899999600000001</v>
      </c>
      <c r="V1512" s="22">
        <v>25.149999600000001</v>
      </c>
      <c r="W1512" s="22">
        <v>25.469999300000001</v>
      </c>
      <c r="X1512" s="22">
        <v>21.351305</v>
      </c>
      <c r="Y1512" s="22">
        <v>624000</v>
      </c>
      <c r="Z1512" s="22">
        <v>1.717254E-2</v>
      </c>
    </row>
    <row r="1513" spans="19:26" ht="16" x14ac:dyDescent="0.2">
      <c r="S1513" s="23">
        <v>44330</v>
      </c>
      <c r="T1513" s="22">
        <v>25.590000199999999</v>
      </c>
      <c r="U1513" s="22">
        <v>26.5100002</v>
      </c>
      <c r="V1513" s="22">
        <v>25.590000199999999</v>
      </c>
      <c r="W1513" s="22">
        <v>26.3700008</v>
      </c>
      <c r="X1513" s="22">
        <v>22.105770100000001</v>
      </c>
      <c r="Y1513" s="22">
        <v>1226400</v>
      </c>
      <c r="Z1513" s="22">
        <v>3.5335779999999997E-2</v>
      </c>
    </row>
    <row r="1514" spans="19:26" ht="16" x14ac:dyDescent="0.2">
      <c r="S1514" s="23">
        <v>44333</v>
      </c>
      <c r="T1514" s="22">
        <v>26.1200008</v>
      </c>
      <c r="U1514" s="22">
        <v>26.389999400000001</v>
      </c>
      <c r="V1514" s="22">
        <v>25.549999199999998</v>
      </c>
      <c r="W1514" s="22">
        <v>25.7600002</v>
      </c>
      <c r="X1514" s="22">
        <v>21.594408000000001</v>
      </c>
      <c r="Y1514" s="22">
        <v>585800</v>
      </c>
      <c r="Z1514" s="22">
        <v>-2.31325E-2</v>
      </c>
    </row>
    <row r="1515" spans="19:26" ht="16" x14ac:dyDescent="0.2">
      <c r="S1515" s="23">
        <v>44334</v>
      </c>
      <c r="T1515" s="22">
        <v>25.670000099999999</v>
      </c>
      <c r="U1515" s="22">
        <v>26.149999600000001</v>
      </c>
      <c r="V1515" s="22">
        <v>25.579999900000001</v>
      </c>
      <c r="W1515" s="22">
        <v>25.600000399999999</v>
      </c>
      <c r="X1515" s="22">
        <v>21.460285200000001</v>
      </c>
      <c r="Y1515" s="22">
        <v>477100</v>
      </c>
      <c r="Z1515" s="22">
        <v>-6.2110000000000004E-3</v>
      </c>
    </row>
    <row r="1516" spans="19:26" ht="16" x14ac:dyDescent="0.2">
      <c r="S1516" s="23">
        <v>44335</v>
      </c>
      <c r="T1516" s="22">
        <v>25.5</v>
      </c>
      <c r="U1516" s="22">
        <v>26.049999199999998</v>
      </c>
      <c r="V1516" s="22">
        <v>25.200000800000002</v>
      </c>
      <c r="W1516" s="22">
        <v>25.9400005</v>
      </c>
      <c r="X1516" s="22">
        <v>21.745305999999999</v>
      </c>
      <c r="Y1516" s="22">
        <v>712400</v>
      </c>
      <c r="Z1516" s="22">
        <v>1.3281319999999999E-2</v>
      </c>
    </row>
    <row r="1517" spans="19:26" ht="16" x14ac:dyDescent="0.2">
      <c r="S1517" s="23">
        <v>44336</v>
      </c>
      <c r="T1517" s="22">
        <v>25.9899998</v>
      </c>
      <c r="U1517" s="22">
        <v>26.469999300000001</v>
      </c>
      <c r="V1517" s="22">
        <v>25.959999100000001</v>
      </c>
      <c r="W1517" s="22">
        <v>26.350000399999999</v>
      </c>
      <c r="X1517" s="22">
        <v>22.089006399999999</v>
      </c>
      <c r="Y1517" s="22">
        <v>526200</v>
      </c>
      <c r="Z1517" s="22">
        <v>1.580573E-2</v>
      </c>
    </row>
    <row r="1518" spans="19:26" ht="16" x14ac:dyDescent="0.2">
      <c r="S1518" s="23">
        <v>44337</v>
      </c>
      <c r="T1518" s="22">
        <v>26.610000599999999</v>
      </c>
      <c r="U1518" s="22">
        <v>26.7600002</v>
      </c>
      <c r="V1518" s="22">
        <v>26.3799992</v>
      </c>
      <c r="W1518" s="22">
        <v>26.6900005</v>
      </c>
      <c r="X1518" s="22">
        <v>22.374023399999999</v>
      </c>
      <c r="Y1518" s="22">
        <v>451900</v>
      </c>
      <c r="Z1518" s="22">
        <v>1.2903120000000001E-2</v>
      </c>
    </row>
    <row r="1519" spans="19:26" ht="16" x14ac:dyDescent="0.2">
      <c r="S1519" s="23">
        <v>44340</v>
      </c>
      <c r="T1519" s="22">
        <v>26.909999800000001</v>
      </c>
      <c r="U1519" s="22">
        <v>26.969999300000001</v>
      </c>
      <c r="V1519" s="22">
        <v>26.540000899999999</v>
      </c>
      <c r="W1519" s="22">
        <v>26.700000800000002</v>
      </c>
      <c r="X1519" s="22">
        <v>22.382406199999998</v>
      </c>
      <c r="Y1519" s="22">
        <v>370000</v>
      </c>
      <c r="Z1519" s="22">
        <v>3.7467000000000002E-4</v>
      </c>
    </row>
    <row r="1520" spans="19:26" ht="16" x14ac:dyDescent="0.2">
      <c r="S1520" s="23">
        <v>44341</v>
      </c>
      <c r="T1520" s="22">
        <v>26.8700008</v>
      </c>
      <c r="U1520" s="22">
        <v>26.920000099999999</v>
      </c>
      <c r="V1520" s="22">
        <v>26.450000800000002</v>
      </c>
      <c r="W1520" s="22">
        <v>26.649999600000001</v>
      </c>
      <c r="X1520" s="22">
        <v>22.3404922</v>
      </c>
      <c r="Y1520" s="22">
        <v>629400</v>
      </c>
      <c r="Z1520" s="22">
        <v>-1.8726000000000001E-3</v>
      </c>
    </row>
    <row r="1521" spans="19:26" ht="16" x14ac:dyDescent="0.2">
      <c r="S1521" s="23">
        <v>44342</v>
      </c>
      <c r="T1521" s="22">
        <v>26.700000800000002</v>
      </c>
      <c r="U1521" s="22">
        <v>26.979999500000002</v>
      </c>
      <c r="V1521" s="22">
        <v>26.469999300000001</v>
      </c>
      <c r="W1521" s="22">
        <v>26.950000800000002</v>
      </c>
      <c r="X1521" s="22">
        <v>22.591978099999999</v>
      </c>
      <c r="Y1521" s="22">
        <v>594500</v>
      </c>
      <c r="Z1521" s="22">
        <v>1.125695E-2</v>
      </c>
    </row>
    <row r="1522" spans="19:26" ht="16" x14ac:dyDescent="0.2">
      <c r="S1522" s="23">
        <v>44343</v>
      </c>
      <c r="T1522" s="22">
        <v>27.049999199999998</v>
      </c>
      <c r="U1522" s="22">
        <v>27.399999600000001</v>
      </c>
      <c r="V1522" s="22">
        <v>26.950000800000002</v>
      </c>
      <c r="W1522" s="22">
        <v>27.219999300000001</v>
      </c>
      <c r="X1522" s="22">
        <v>22.818319299999999</v>
      </c>
      <c r="Y1522" s="22">
        <v>1157100</v>
      </c>
      <c r="Z1522" s="22">
        <v>1.001866E-2</v>
      </c>
    </row>
    <row r="1523" spans="19:26" ht="16" x14ac:dyDescent="0.2">
      <c r="S1523" s="23">
        <v>44344</v>
      </c>
      <c r="T1523" s="22">
        <v>26.8799992</v>
      </c>
      <c r="U1523" s="22">
        <v>27.049999199999998</v>
      </c>
      <c r="V1523" s="22">
        <v>26.420000099999999</v>
      </c>
      <c r="W1523" s="22">
        <v>26.829999900000001</v>
      </c>
      <c r="X1523" s="22">
        <v>22.766552000000001</v>
      </c>
      <c r="Y1523" s="22">
        <v>585200</v>
      </c>
      <c r="Z1523" s="22">
        <v>-2.2686999999999998E-3</v>
      </c>
    </row>
    <row r="1524" spans="19:26" ht="16" x14ac:dyDescent="0.2">
      <c r="S1524" s="23">
        <v>44348</v>
      </c>
      <c r="T1524" s="22">
        <v>27.0599995</v>
      </c>
      <c r="U1524" s="22">
        <v>27.1900005</v>
      </c>
      <c r="V1524" s="22">
        <v>26.549999199999998</v>
      </c>
      <c r="W1524" s="22">
        <v>26.719999300000001</v>
      </c>
      <c r="X1524" s="22">
        <v>22.673215899999999</v>
      </c>
      <c r="Y1524" s="22">
        <v>546800</v>
      </c>
      <c r="Z1524" s="22">
        <v>-4.0997000000000004E-3</v>
      </c>
    </row>
    <row r="1525" spans="19:26" ht="16" x14ac:dyDescent="0.2">
      <c r="S1525" s="23">
        <v>44349</v>
      </c>
      <c r="T1525" s="22">
        <v>26.719999300000001</v>
      </c>
      <c r="U1525" s="22">
        <v>26.889999400000001</v>
      </c>
      <c r="V1525" s="22">
        <v>26.3700008</v>
      </c>
      <c r="W1525" s="22">
        <v>26.3799992</v>
      </c>
      <c r="X1525" s="22">
        <v>22.384708400000001</v>
      </c>
      <c r="Y1525" s="22">
        <v>508800</v>
      </c>
      <c r="Z1525" s="22">
        <v>-1.2724600000000001E-2</v>
      </c>
    </row>
    <row r="1526" spans="19:26" ht="16" x14ac:dyDescent="0.2">
      <c r="S1526" s="23">
        <v>44350</v>
      </c>
      <c r="T1526" s="22">
        <v>26.159999800000001</v>
      </c>
      <c r="U1526" s="22">
        <v>26.610000599999999</v>
      </c>
      <c r="V1526" s="22">
        <v>26.020000499999998</v>
      </c>
      <c r="W1526" s="22">
        <v>26.469999300000001</v>
      </c>
      <c r="X1526" s="22">
        <v>22.4610786</v>
      </c>
      <c r="Y1526" s="22">
        <v>519000</v>
      </c>
      <c r="Z1526" s="22">
        <v>3.4117100000000001E-3</v>
      </c>
    </row>
    <row r="1527" spans="19:26" ht="16" x14ac:dyDescent="0.2">
      <c r="S1527" s="23">
        <v>44351</v>
      </c>
      <c r="T1527" s="22">
        <v>26.5699997</v>
      </c>
      <c r="U1527" s="22">
        <v>26.729999500000002</v>
      </c>
      <c r="V1527" s="22">
        <v>26.409999800000001</v>
      </c>
      <c r="W1527" s="22">
        <v>26.5</v>
      </c>
      <c r="X1527" s="22">
        <v>22.486536000000001</v>
      </c>
      <c r="Y1527" s="22">
        <v>465500</v>
      </c>
      <c r="Z1527" s="22">
        <v>1.1333999999999999E-3</v>
      </c>
    </row>
    <row r="1528" spans="19:26" ht="16" x14ac:dyDescent="0.2">
      <c r="S1528" s="23">
        <v>44354</v>
      </c>
      <c r="T1528" s="22">
        <v>26.540000899999999</v>
      </c>
      <c r="U1528" s="22">
        <v>27.110000599999999</v>
      </c>
      <c r="V1528" s="22">
        <v>26.469999300000001</v>
      </c>
      <c r="W1528" s="22">
        <v>27.079999900000001</v>
      </c>
      <c r="X1528" s="22">
        <v>22.978696800000002</v>
      </c>
      <c r="Y1528" s="22">
        <v>441900</v>
      </c>
      <c r="Z1528" s="22">
        <v>2.1886909999999999E-2</v>
      </c>
    </row>
    <row r="1529" spans="19:26" ht="16" x14ac:dyDescent="0.2">
      <c r="S1529" s="23">
        <v>44355</v>
      </c>
      <c r="T1529" s="22">
        <v>27.219999300000001</v>
      </c>
      <c r="U1529" s="22">
        <v>27.350000399999999</v>
      </c>
      <c r="V1529" s="22">
        <v>26.6200008</v>
      </c>
      <c r="W1529" s="22">
        <v>26.899999600000001</v>
      </c>
      <c r="X1529" s="22">
        <v>22.8259525</v>
      </c>
      <c r="Y1529" s="22">
        <v>700400</v>
      </c>
      <c r="Z1529" s="22">
        <v>-6.6471999999999998E-3</v>
      </c>
    </row>
    <row r="1530" spans="19:26" ht="16" x14ac:dyDescent="0.2">
      <c r="S1530" s="23">
        <v>44356</v>
      </c>
      <c r="T1530" s="22">
        <v>27.049999199999998</v>
      </c>
      <c r="U1530" s="22">
        <v>27.600000399999999</v>
      </c>
      <c r="V1530" s="22">
        <v>26.799999199999998</v>
      </c>
      <c r="W1530" s="22">
        <v>27.5599995</v>
      </c>
      <c r="X1530" s="22">
        <v>23.385999699999999</v>
      </c>
      <c r="Y1530" s="22">
        <v>829000</v>
      </c>
      <c r="Z1530" s="22">
        <v>2.4535540000000002E-2</v>
      </c>
    </row>
    <row r="1531" spans="19:26" ht="16" x14ac:dyDescent="0.2">
      <c r="S1531" s="23">
        <v>44357</v>
      </c>
      <c r="T1531" s="22">
        <v>27.590000199999999</v>
      </c>
      <c r="U1531" s="22">
        <v>27.969999300000001</v>
      </c>
      <c r="V1531" s="22">
        <v>27.290000899999999</v>
      </c>
      <c r="W1531" s="22">
        <v>27.9300003</v>
      </c>
      <c r="X1531" s="22">
        <v>23.699962599999999</v>
      </c>
      <c r="Y1531" s="22">
        <v>446100</v>
      </c>
      <c r="Z1531" s="22">
        <v>1.342525E-2</v>
      </c>
    </row>
    <row r="1532" spans="19:26" ht="16" x14ac:dyDescent="0.2">
      <c r="S1532" s="23">
        <v>44358</v>
      </c>
      <c r="T1532" s="22">
        <v>28.1200008</v>
      </c>
      <c r="U1532" s="22">
        <v>28.3799992</v>
      </c>
      <c r="V1532" s="22">
        <v>27.979999500000002</v>
      </c>
      <c r="W1532" s="22">
        <v>28.350000399999999</v>
      </c>
      <c r="X1532" s="22">
        <v>24.056350699999999</v>
      </c>
      <c r="Y1532" s="22">
        <v>406500</v>
      </c>
      <c r="Z1532" s="22">
        <v>1.5037500000000001E-2</v>
      </c>
    </row>
    <row r="1533" spans="19:26" ht="16" x14ac:dyDescent="0.2">
      <c r="S1533" s="23">
        <v>44361</v>
      </c>
      <c r="T1533" s="22">
        <v>28.399999600000001</v>
      </c>
      <c r="U1533" s="22">
        <v>28.399999600000001</v>
      </c>
      <c r="V1533" s="22">
        <v>27.1200008</v>
      </c>
      <c r="W1533" s="22">
        <v>27.579999900000001</v>
      </c>
      <c r="X1533" s="22">
        <v>23.4029694</v>
      </c>
      <c r="Y1533" s="22">
        <v>1240800</v>
      </c>
      <c r="Z1533" s="22">
        <v>-2.7160500000000001E-2</v>
      </c>
    </row>
    <row r="1534" spans="19:26" ht="16" x14ac:dyDescent="0.2">
      <c r="S1534" s="23">
        <v>44362</v>
      </c>
      <c r="T1534" s="22">
        <v>27.450000800000002</v>
      </c>
      <c r="U1534" s="22">
        <v>27.850000399999999</v>
      </c>
      <c r="V1534" s="22">
        <v>27.399999600000001</v>
      </c>
      <c r="W1534" s="22">
        <v>27.5599995</v>
      </c>
      <c r="X1534" s="22">
        <v>23.385999699999999</v>
      </c>
      <c r="Y1534" s="22">
        <v>486300</v>
      </c>
      <c r="Z1534" s="22">
        <v>-7.2510000000000001E-4</v>
      </c>
    </row>
    <row r="1535" spans="19:26" ht="16" x14ac:dyDescent="0.2">
      <c r="S1535" s="23">
        <v>44363</v>
      </c>
      <c r="T1535" s="22">
        <v>27.6800003</v>
      </c>
      <c r="U1535" s="22">
        <v>27.959999100000001</v>
      </c>
      <c r="V1535" s="22">
        <v>27.170000099999999</v>
      </c>
      <c r="W1535" s="22">
        <v>27.299999199999998</v>
      </c>
      <c r="X1535" s="22">
        <v>23.1653728</v>
      </c>
      <c r="Y1535" s="22">
        <v>567200</v>
      </c>
      <c r="Z1535" s="22">
        <v>-9.4341000000000008E-3</v>
      </c>
    </row>
    <row r="1536" spans="19:26" ht="16" x14ac:dyDescent="0.2">
      <c r="S1536" s="23">
        <v>44364</v>
      </c>
      <c r="T1536" s="22">
        <v>27.299999199999998</v>
      </c>
      <c r="U1536" s="22">
        <v>27.8799992</v>
      </c>
      <c r="V1536" s="22">
        <v>27.229999500000002</v>
      </c>
      <c r="W1536" s="22">
        <v>27.659999800000001</v>
      </c>
      <c r="X1536" s="22">
        <v>23.4708519</v>
      </c>
      <c r="Y1536" s="22">
        <v>632400</v>
      </c>
      <c r="Z1536" s="22">
        <v>1.318688E-2</v>
      </c>
    </row>
    <row r="1537" spans="19:26" ht="16" x14ac:dyDescent="0.2">
      <c r="S1537" s="23">
        <v>44365</v>
      </c>
      <c r="T1537" s="22">
        <v>27.280000699999999</v>
      </c>
      <c r="U1537" s="22">
        <v>27.5</v>
      </c>
      <c r="V1537" s="22">
        <v>26.299999199999998</v>
      </c>
      <c r="W1537" s="22">
        <v>26.649999600000001</v>
      </c>
      <c r="X1537" s="22">
        <v>22.6138172</v>
      </c>
      <c r="Y1537" s="22">
        <v>3437300</v>
      </c>
      <c r="Z1537" s="22">
        <v>-3.6514900000000003E-2</v>
      </c>
    </row>
    <row r="1538" spans="19:26" ht="16" x14ac:dyDescent="0.2">
      <c r="S1538" s="23">
        <v>44368</v>
      </c>
      <c r="T1538" s="22">
        <v>26.899999600000001</v>
      </c>
      <c r="U1538" s="22">
        <v>26.9300003</v>
      </c>
      <c r="V1538" s="22">
        <v>26.549999199999998</v>
      </c>
      <c r="W1538" s="22">
        <v>26.649999600000001</v>
      </c>
      <c r="X1538" s="22">
        <v>22.6138172</v>
      </c>
      <c r="Y1538" s="22">
        <v>716300</v>
      </c>
      <c r="Z1538" s="22">
        <v>0</v>
      </c>
    </row>
    <row r="1539" spans="19:26" ht="16" x14ac:dyDescent="0.2">
      <c r="S1539" s="23">
        <v>44369</v>
      </c>
      <c r="T1539" s="22">
        <v>26.5</v>
      </c>
      <c r="U1539" s="22">
        <v>26.799999199999998</v>
      </c>
      <c r="V1539" s="22">
        <v>26.409999800000001</v>
      </c>
      <c r="W1539" s="22">
        <v>26.6299992</v>
      </c>
      <c r="X1539" s="22">
        <v>22.596843700000001</v>
      </c>
      <c r="Y1539" s="22">
        <v>579900</v>
      </c>
      <c r="Z1539" s="22">
        <v>-7.5060000000000003E-4</v>
      </c>
    </row>
    <row r="1540" spans="19:26" ht="16" x14ac:dyDescent="0.2">
      <c r="S1540" s="23">
        <v>44370</v>
      </c>
      <c r="T1540" s="22">
        <v>26.610000599999999</v>
      </c>
      <c r="U1540" s="22">
        <v>27.100000399999999</v>
      </c>
      <c r="V1540" s="22">
        <v>26.520000499999998</v>
      </c>
      <c r="W1540" s="22">
        <v>26.850000399999999</v>
      </c>
      <c r="X1540" s="22">
        <v>22.783527400000001</v>
      </c>
      <c r="Y1540" s="22">
        <v>548000</v>
      </c>
      <c r="Z1540" s="22">
        <v>8.2614899999999998E-3</v>
      </c>
    </row>
    <row r="1541" spans="19:26" ht="16" x14ac:dyDescent="0.2">
      <c r="S1541" s="23">
        <v>44371</v>
      </c>
      <c r="T1541" s="22">
        <v>27.030000699999999</v>
      </c>
      <c r="U1541" s="22">
        <v>27.049999199999998</v>
      </c>
      <c r="V1541" s="22">
        <v>26.5100002</v>
      </c>
      <c r="W1541" s="22">
        <v>26.7399998</v>
      </c>
      <c r="X1541" s="22">
        <v>22.6901875</v>
      </c>
      <c r="Y1541" s="22">
        <v>366400</v>
      </c>
      <c r="Z1541" s="22">
        <v>-4.0968000000000003E-3</v>
      </c>
    </row>
    <row r="1542" spans="19:26" ht="16" x14ac:dyDescent="0.2">
      <c r="S1542" s="23">
        <v>44372</v>
      </c>
      <c r="T1542" s="22">
        <v>26.8199997</v>
      </c>
      <c r="U1542" s="22">
        <v>26.979999500000002</v>
      </c>
      <c r="V1542" s="22">
        <v>26.549999199999998</v>
      </c>
      <c r="W1542" s="22">
        <v>26.549999199999998</v>
      </c>
      <c r="X1542" s="22">
        <v>22.528961200000001</v>
      </c>
      <c r="Y1542" s="22">
        <v>3342500</v>
      </c>
      <c r="Z1542" s="22">
        <v>-7.1056000000000001E-3</v>
      </c>
    </row>
    <row r="1543" spans="19:26" ht="16" x14ac:dyDescent="0.2">
      <c r="S1543" s="23">
        <v>44375</v>
      </c>
      <c r="T1543" s="22">
        <v>26.75</v>
      </c>
      <c r="U1543" s="22">
        <v>27.270000499999998</v>
      </c>
      <c r="V1543" s="22">
        <v>26.5699997</v>
      </c>
      <c r="W1543" s="22">
        <v>27.1299992</v>
      </c>
      <c r="X1543" s="22">
        <v>23.021120100000001</v>
      </c>
      <c r="Y1543" s="22">
        <v>1584300</v>
      </c>
      <c r="Z1543" s="22">
        <v>2.1845610000000001E-2</v>
      </c>
    </row>
    <row r="1544" spans="19:26" ht="16" x14ac:dyDescent="0.2">
      <c r="S1544" s="23">
        <v>44376</v>
      </c>
      <c r="T1544" s="22">
        <v>27.139999400000001</v>
      </c>
      <c r="U1544" s="22">
        <v>27.200000800000002</v>
      </c>
      <c r="V1544" s="22">
        <v>26.770000499999998</v>
      </c>
      <c r="W1544" s="22">
        <v>26.829999900000001</v>
      </c>
      <c r="X1544" s="22">
        <v>22.766552000000001</v>
      </c>
      <c r="Y1544" s="22">
        <v>887400</v>
      </c>
      <c r="Z1544" s="22">
        <v>-1.1058E-2</v>
      </c>
    </row>
    <row r="1545" spans="19:26" ht="16" x14ac:dyDescent="0.2">
      <c r="S1545" s="23">
        <v>44377</v>
      </c>
      <c r="T1545" s="22">
        <v>26.8199997</v>
      </c>
      <c r="U1545" s="22">
        <v>27.0100002</v>
      </c>
      <c r="V1545" s="22">
        <v>26.3700008</v>
      </c>
      <c r="W1545" s="22">
        <v>26.479999500000002</v>
      </c>
      <c r="X1545" s="22">
        <v>22.469560600000001</v>
      </c>
      <c r="Y1545" s="22">
        <v>608200</v>
      </c>
      <c r="Z1545" s="22">
        <v>-1.30451E-2</v>
      </c>
    </row>
    <row r="1546" spans="19:26" ht="16" x14ac:dyDescent="0.2">
      <c r="S1546" s="23">
        <v>44378</v>
      </c>
      <c r="T1546" s="22">
        <v>26.6800003</v>
      </c>
      <c r="U1546" s="22">
        <v>26.780000699999999</v>
      </c>
      <c r="V1546" s="22">
        <v>26.389999400000001</v>
      </c>
      <c r="W1546" s="22">
        <v>26.469999300000001</v>
      </c>
      <c r="X1546" s="22">
        <v>22.4610786</v>
      </c>
      <c r="Y1546" s="22">
        <v>1338600</v>
      </c>
      <c r="Z1546" s="22">
        <v>-3.7750000000000001E-4</v>
      </c>
    </row>
    <row r="1547" spans="19:26" ht="16" x14ac:dyDescent="0.2">
      <c r="S1547" s="23">
        <v>44379</v>
      </c>
      <c r="T1547" s="22">
        <v>26.5699997</v>
      </c>
      <c r="U1547" s="22">
        <v>26.6200008</v>
      </c>
      <c r="V1547" s="22">
        <v>26.280000699999999</v>
      </c>
      <c r="W1547" s="22">
        <v>26.4300003</v>
      </c>
      <c r="X1547" s="22">
        <v>22.427137399999999</v>
      </c>
      <c r="Y1547" s="22">
        <v>447200</v>
      </c>
      <c r="Z1547" s="22">
        <v>-1.5111E-3</v>
      </c>
    </row>
    <row r="1548" spans="19:26" ht="16" x14ac:dyDescent="0.2">
      <c r="S1548" s="23">
        <v>44383</v>
      </c>
      <c r="T1548" s="22">
        <v>26.450000800000002</v>
      </c>
      <c r="U1548" s="22">
        <v>26.520000499999998</v>
      </c>
      <c r="V1548" s="22">
        <v>26.079999900000001</v>
      </c>
      <c r="W1548" s="22">
        <v>26.409999800000001</v>
      </c>
      <c r="X1548" s="22">
        <v>22.410167699999999</v>
      </c>
      <c r="Y1548" s="22">
        <v>406300</v>
      </c>
      <c r="Z1548" s="22">
        <v>-7.5670000000000002E-4</v>
      </c>
    </row>
    <row r="1549" spans="19:26" ht="16" x14ac:dyDescent="0.2">
      <c r="S1549" s="23">
        <v>44384</v>
      </c>
      <c r="T1549" s="22">
        <v>26.340000199999999</v>
      </c>
      <c r="U1549" s="22">
        <v>27.229999500000002</v>
      </c>
      <c r="V1549" s="22">
        <v>26.1299992</v>
      </c>
      <c r="W1549" s="22">
        <v>26.799999199999998</v>
      </c>
      <c r="X1549" s="22">
        <v>22.741096500000001</v>
      </c>
      <c r="Y1549" s="22">
        <v>2183700</v>
      </c>
      <c r="Z1549" s="22">
        <v>1.4766899999999999E-2</v>
      </c>
    </row>
    <row r="1550" spans="19:26" ht="16" x14ac:dyDescent="0.2">
      <c r="S1550" s="23">
        <v>44385</v>
      </c>
      <c r="T1550" s="22">
        <v>26.5</v>
      </c>
      <c r="U1550" s="22">
        <v>26.840000199999999</v>
      </c>
      <c r="V1550" s="22">
        <v>26.270000499999998</v>
      </c>
      <c r="W1550" s="22">
        <v>26.459999100000001</v>
      </c>
      <c r="X1550" s="22">
        <v>22.452592800000001</v>
      </c>
      <c r="Y1550" s="22">
        <v>760100</v>
      </c>
      <c r="Z1550" s="22">
        <v>-1.26864E-2</v>
      </c>
    </row>
    <row r="1551" spans="19:26" ht="16" x14ac:dyDescent="0.2">
      <c r="S1551" s="23">
        <v>44386</v>
      </c>
      <c r="T1551" s="22">
        <v>26.549999199999998</v>
      </c>
      <c r="U1551" s="22">
        <v>26.959999100000001</v>
      </c>
      <c r="V1551" s="22">
        <v>26.450000800000002</v>
      </c>
      <c r="W1551" s="22">
        <v>26.899999600000001</v>
      </c>
      <c r="X1551" s="22">
        <v>22.8259525</v>
      </c>
      <c r="Y1551" s="22">
        <v>471000</v>
      </c>
      <c r="Z1551" s="22">
        <v>1.6628799999999999E-2</v>
      </c>
    </row>
    <row r="1552" spans="19:26" ht="16" x14ac:dyDescent="0.2">
      <c r="S1552" s="23">
        <v>44389</v>
      </c>
      <c r="T1552" s="22">
        <v>26.8099995</v>
      </c>
      <c r="U1552" s="22">
        <v>26.860000599999999</v>
      </c>
      <c r="V1552" s="22">
        <v>26.549999199999998</v>
      </c>
      <c r="W1552" s="22">
        <v>26.6299992</v>
      </c>
      <c r="X1552" s="22">
        <v>22.596843700000001</v>
      </c>
      <c r="Y1552" s="22">
        <v>480100</v>
      </c>
      <c r="Z1552" s="22">
        <v>-1.00372E-2</v>
      </c>
    </row>
    <row r="1553" spans="19:26" ht="16" x14ac:dyDescent="0.2">
      <c r="S1553" s="23">
        <v>44390</v>
      </c>
      <c r="T1553" s="22">
        <v>26.5100002</v>
      </c>
      <c r="U1553" s="22">
        <v>26.959999100000001</v>
      </c>
      <c r="V1553" s="22">
        <v>26.4300003</v>
      </c>
      <c r="W1553" s="22">
        <v>26.450000800000002</v>
      </c>
      <c r="X1553" s="22">
        <v>22.444109000000001</v>
      </c>
      <c r="Y1553" s="22">
        <v>478300</v>
      </c>
      <c r="Z1553" s="22">
        <v>-6.7590999999999997E-3</v>
      </c>
    </row>
    <row r="1554" spans="19:26" ht="16" x14ac:dyDescent="0.2">
      <c r="S1554" s="23">
        <v>44391</v>
      </c>
      <c r="T1554" s="22">
        <v>26.549999199999998</v>
      </c>
      <c r="U1554" s="22">
        <v>26.729999500000002</v>
      </c>
      <c r="V1554" s="22">
        <v>26.110000599999999</v>
      </c>
      <c r="W1554" s="22">
        <v>26.25</v>
      </c>
      <c r="X1554" s="22">
        <v>22.2743988</v>
      </c>
      <c r="Y1554" s="22">
        <v>487800</v>
      </c>
      <c r="Z1554" s="22">
        <v>-7.5614999999999996E-3</v>
      </c>
    </row>
    <row r="1555" spans="19:26" ht="16" x14ac:dyDescent="0.2">
      <c r="S1555" s="23">
        <v>44392</v>
      </c>
      <c r="T1555" s="22">
        <v>26.139999400000001</v>
      </c>
      <c r="U1555" s="22">
        <v>26.399999600000001</v>
      </c>
      <c r="V1555" s="22">
        <v>25.8199997</v>
      </c>
      <c r="W1555" s="22">
        <v>26.219999300000001</v>
      </c>
      <c r="X1555" s="22">
        <v>22.248937600000001</v>
      </c>
      <c r="Y1555" s="22">
        <v>719600</v>
      </c>
      <c r="Z1555" s="22">
        <v>-1.1431E-3</v>
      </c>
    </row>
    <row r="1556" spans="19:26" ht="16" x14ac:dyDescent="0.2">
      <c r="S1556" s="23">
        <v>44393</v>
      </c>
      <c r="T1556" s="22">
        <v>26.3199997</v>
      </c>
      <c r="U1556" s="22">
        <v>26.700000800000002</v>
      </c>
      <c r="V1556" s="22">
        <v>26.1200008</v>
      </c>
      <c r="W1556" s="22">
        <v>26.1900005</v>
      </c>
      <c r="X1556" s="22">
        <v>22.2234859</v>
      </c>
      <c r="Y1556" s="22">
        <v>1246500</v>
      </c>
      <c r="Z1556" s="22">
        <v>-1.1439E-3</v>
      </c>
    </row>
    <row r="1557" spans="19:26" ht="16" x14ac:dyDescent="0.2">
      <c r="S1557" s="23">
        <v>44396</v>
      </c>
      <c r="T1557" s="22">
        <v>25.8099995</v>
      </c>
      <c r="U1557" s="22">
        <v>25.9400005</v>
      </c>
      <c r="V1557" s="22">
        <v>25.389999400000001</v>
      </c>
      <c r="W1557" s="22">
        <v>25.719999300000001</v>
      </c>
      <c r="X1557" s="22">
        <v>21.824667000000002</v>
      </c>
      <c r="Y1557" s="22">
        <v>1026300</v>
      </c>
      <c r="Z1557" s="22">
        <v>-1.7945800000000001E-2</v>
      </c>
    </row>
    <row r="1558" spans="19:26" ht="16" x14ac:dyDescent="0.2">
      <c r="S1558" s="23">
        <v>44397</v>
      </c>
      <c r="T1558" s="22">
        <v>25.799999199999998</v>
      </c>
      <c r="U1558" s="22">
        <v>26.5699997</v>
      </c>
      <c r="V1558" s="22">
        <v>25.75</v>
      </c>
      <c r="W1558" s="22">
        <v>26.299999199999998</v>
      </c>
      <c r="X1558" s="22">
        <v>22.316825900000001</v>
      </c>
      <c r="Y1558" s="22">
        <v>1094000</v>
      </c>
      <c r="Z1558" s="22">
        <v>2.2550580000000001E-2</v>
      </c>
    </row>
    <row r="1559" spans="19:26" ht="16" x14ac:dyDescent="0.2">
      <c r="S1559" s="23">
        <v>44398</v>
      </c>
      <c r="T1559" s="22">
        <v>26.520000499999998</v>
      </c>
      <c r="U1559" s="22">
        <v>27.3199997</v>
      </c>
      <c r="V1559" s="22">
        <v>26.450000800000002</v>
      </c>
      <c r="W1559" s="22">
        <v>27.299999199999998</v>
      </c>
      <c r="X1559" s="22">
        <v>23.1653728</v>
      </c>
      <c r="Y1559" s="22">
        <v>1169900</v>
      </c>
      <c r="Z1559" s="22">
        <v>3.8022750000000001E-2</v>
      </c>
    </row>
    <row r="1560" spans="19:26" ht="16" x14ac:dyDescent="0.2">
      <c r="S1560" s="23">
        <v>44399</v>
      </c>
      <c r="T1560" s="22">
        <v>27.360000599999999</v>
      </c>
      <c r="U1560" s="22">
        <v>28.1299992</v>
      </c>
      <c r="V1560" s="22">
        <v>27.360000599999999</v>
      </c>
      <c r="W1560" s="22">
        <v>27.950000800000002</v>
      </c>
      <c r="X1560" s="22">
        <v>23.716930399999999</v>
      </c>
      <c r="Y1560" s="22">
        <v>1394700</v>
      </c>
      <c r="Z1560" s="22">
        <v>2.3809569999999999E-2</v>
      </c>
    </row>
    <row r="1561" spans="19:26" ht="16" x14ac:dyDescent="0.2">
      <c r="S1561" s="23">
        <v>44400</v>
      </c>
      <c r="T1561" s="22">
        <v>28.030000699999999</v>
      </c>
      <c r="U1561" s="22">
        <v>28.1299992</v>
      </c>
      <c r="V1561" s="22">
        <v>27.469999300000001</v>
      </c>
      <c r="W1561" s="22">
        <v>28.040000899999999</v>
      </c>
      <c r="X1561" s="22">
        <v>23.793298700000001</v>
      </c>
      <c r="Y1561" s="22">
        <v>655300</v>
      </c>
      <c r="Z1561" s="22">
        <v>3.2199899999999998E-3</v>
      </c>
    </row>
    <row r="1562" spans="19:26" ht="16" x14ac:dyDescent="0.2">
      <c r="S1562" s="23">
        <v>44403</v>
      </c>
      <c r="T1562" s="22">
        <v>28.090000199999999</v>
      </c>
      <c r="U1562" s="22">
        <v>28.4400005</v>
      </c>
      <c r="V1562" s="22">
        <v>27.8099995</v>
      </c>
      <c r="W1562" s="22">
        <v>28</v>
      </c>
      <c r="X1562" s="22">
        <v>23.759355500000002</v>
      </c>
      <c r="Y1562" s="22">
        <v>705800</v>
      </c>
      <c r="Z1562" s="22">
        <v>-1.4266000000000001E-3</v>
      </c>
    </row>
    <row r="1563" spans="19:26" ht="16" x14ac:dyDescent="0.2">
      <c r="S1563" s="23">
        <v>44404</v>
      </c>
      <c r="T1563" s="22">
        <v>27.790000899999999</v>
      </c>
      <c r="U1563" s="22">
        <v>28.110000599999999</v>
      </c>
      <c r="V1563" s="22">
        <v>27.409999800000001</v>
      </c>
      <c r="W1563" s="22">
        <v>28.0699997</v>
      </c>
      <c r="X1563" s="22">
        <v>23.818757999999999</v>
      </c>
      <c r="Y1563" s="22">
        <v>465900</v>
      </c>
      <c r="Z1563" s="22">
        <v>2.5001699999999999E-3</v>
      </c>
    </row>
    <row r="1564" spans="19:26" ht="16" x14ac:dyDescent="0.2">
      <c r="S1564" s="23">
        <v>44405</v>
      </c>
      <c r="T1564" s="22">
        <v>28.209999100000001</v>
      </c>
      <c r="U1564" s="22">
        <v>28.520000499999998</v>
      </c>
      <c r="V1564" s="22">
        <v>27.959999100000001</v>
      </c>
      <c r="W1564" s="22">
        <v>28.5</v>
      </c>
      <c r="X1564" s="22">
        <v>24.183633799999999</v>
      </c>
      <c r="Y1564" s="22">
        <v>669800</v>
      </c>
      <c r="Z1564" s="22">
        <v>1.531884E-2</v>
      </c>
    </row>
    <row r="1565" spans="19:26" ht="16" x14ac:dyDescent="0.2">
      <c r="S1565" s="23">
        <v>44406</v>
      </c>
      <c r="T1565" s="22">
        <v>28.649999600000001</v>
      </c>
      <c r="U1565" s="22">
        <v>29.149999600000001</v>
      </c>
      <c r="V1565" s="22">
        <v>28.600000399999999</v>
      </c>
      <c r="W1565" s="22">
        <v>28.959999100000001</v>
      </c>
      <c r="X1565" s="22">
        <v>24.5739594</v>
      </c>
      <c r="Y1565" s="22">
        <v>646000</v>
      </c>
      <c r="Z1565" s="22">
        <v>1.6140069999999999E-2</v>
      </c>
    </row>
    <row r="1566" spans="19:26" ht="16" x14ac:dyDescent="0.2">
      <c r="S1566" s="23">
        <v>44407</v>
      </c>
      <c r="T1566" s="22">
        <v>28.829999900000001</v>
      </c>
      <c r="U1566" s="22">
        <v>29.1299992</v>
      </c>
      <c r="V1566" s="22">
        <v>28.5599995</v>
      </c>
      <c r="W1566" s="22">
        <v>28.6800003</v>
      </c>
      <c r="X1566" s="22">
        <v>24.336372399999998</v>
      </c>
      <c r="Y1566" s="22">
        <v>466900</v>
      </c>
      <c r="Z1566" s="22">
        <v>-9.6682000000000001E-3</v>
      </c>
    </row>
    <row r="1567" spans="19:26" ht="16" x14ac:dyDescent="0.2">
      <c r="S1567" s="23">
        <v>44410</v>
      </c>
      <c r="T1567" s="22">
        <v>28.7399998</v>
      </c>
      <c r="U1567" s="22">
        <v>29.049999199999998</v>
      </c>
      <c r="V1567" s="22">
        <v>28.649999600000001</v>
      </c>
      <c r="W1567" s="22">
        <v>29</v>
      </c>
      <c r="X1567" s="22">
        <v>24.6079063</v>
      </c>
      <c r="Y1567" s="22">
        <v>536400</v>
      </c>
      <c r="Z1567" s="22">
        <v>1.1157540000000001E-2</v>
      </c>
    </row>
    <row r="1568" spans="19:26" ht="16" x14ac:dyDescent="0.2">
      <c r="S1568" s="23">
        <v>44411</v>
      </c>
      <c r="T1568" s="22">
        <v>29.1299992</v>
      </c>
      <c r="U1568" s="22">
        <v>29.860000599999999</v>
      </c>
      <c r="V1568" s="22">
        <v>28.6800003</v>
      </c>
      <c r="W1568" s="22">
        <v>29.840000199999999</v>
      </c>
      <c r="X1568" s="22">
        <v>25.320688199999999</v>
      </c>
      <c r="Y1568" s="22">
        <v>710400</v>
      </c>
      <c r="Z1568" s="22">
        <v>2.8965560000000001E-2</v>
      </c>
    </row>
    <row r="1569" spans="19:26" ht="16" x14ac:dyDescent="0.2">
      <c r="S1569" s="23">
        <v>44412</v>
      </c>
      <c r="T1569" s="22">
        <v>29.7399998</v>
      </c>
      <c r="U1569" s="22">
        <v>30.159999800000001</v>
      </c>
      <c r="V1569" s="22">
        <v>29.610000599999999</v>
      </c>
      <c r="W1569" s="22">
        <v>30.090000199999999</v>
      </c>
      <c r="X1569" s="22">
        <v>25.5328236</v>
      </c>
      <c r="Y1569" s="22">
        <v>569900</v>
      </c>
      <c r="Z1569" s="22">
        <v>8.3779400000000004E-3</v>
      </c>
    </row>
    <row r="1570" spans="19:26" ht="16" x14ac:dyDescent="0.2">
      <c r="S1570" s="23">
        <v>44413</v>
      </c>
      <c r="T1570" s="22">
        <v>30.1800003</v>
      </c>
      <c r="U1570" s="22">
        <v>30.450000800000002</v>
      </c>
      <c r="V1570" s="22">
        <v>29.860000599999999</v>
      </c>
      <c r="W1570" s="22">
        <v>30.3700008</v>
      </c>
      <c r="X1570" s="22">
        <v>25.770418200000002</v>
      </c>
      <c r="Y1570" s="22">
        <v>512700</v>
      </c>
      <c r="Z1570" s="22">
        <v>9.3054599999999998E-3</v>
      </c>
    </row>
    <row r="1571" spans="19:26" ht="16" x14ac:dyDescent="0.2">
      <c r="S1571" s="23">
        <v>44414</v>
      </c>
      <c r="T1571" s="22">
        <v>30.4400005</v>
      </c>
      <c r="U1571" s="22">
        <v>30.75</v>
      </c>
      <c r="V1571" s="22">
        <v>30.3799992</v>
      </c>
      <c r="W1571" s="22">
        <v>30.5100002</v>
      </c>
      <c r="X1571" s="22">
        <v>25.8892174</v>
      </c>
      <c r="Y1571" s="22">
        <v>651400</v>
      </c>
      <c r="Z1571" s="22">
        <v>4.60991E-3</v>
      </c>
    </row>
    <row r="1572" spans="19:26" ht="16" x14ac:dyDescent="0.2">
      <c r="S1572" s="23">
        <v>44417</v>
      </c>
      <c r="T1572" s="22">
        <v>30.590000199999999</v>
      </c>
      <c r="U1572" s="22">
        <v>30.590000199999999</v>
      </c>
      <c r="V1572" s="22">
        <v>30.139999400000001</v>
      </c>
      <c r="W1572" s="22">
        <v>30.2600002</v>
      </c>
      <c r="X1572" s="22">
        <v>25.6770782</v>
      </c>
      <c r="Y1572" s="22">
        <v>499300</v>
      </c>
      <c r="Z1572" s="22">
        <v>-8.1940999999999993E-3</v>
      </c>
    </row>
    <row r="1573" spans="19:26" ht="16" x14ac:dyDescent="0.2">
      <c r="S1573" s="23">
        <v>44418</v>
      </c>
      <c r="T1573" s="22">
        <v>30.219999300000001</v>
      </c>
      <c r="U1573" s="22">
        <v>30.6800003</v>
      </c>
      <c r="V1573" s="22">
        <v>30.079999900000001</v>
      </c>
      <c r="W1573" s="22">
        <v>30.549999199999998</v>
      </c>
      <c r="X1573" s="22">
        <v>25.9231567</v>
      </c>
      <c r="Y1573" s="22">
        <v>600400</v>
      </c>
      <c r="Z1573" s="22">
        <v>9.5835899999999995E-3</v>
      </c>
    </row>
    <row r="1574" spans="19:26" ht="16" x14ac:dyDescent="0.2">
      <c r="S1574" s="23">
        <v>44419</v>
      </c>
      <c r="T1574" s="22">
        <v>30.770000499999998</v>
      </c>
      <c r="U1574" s="22">
        <v>30.920000099999999</v>
      </c>
      <c r="V1574" s="22">
        <v>30.3099995</v>
      </c>
      <c r="W1574" s="22">
        <v>30.8799992</v>
      </c>
      <c r="X1574" s="22">
        <v>26.203178399999999</v>
      </c>
      <c r="Y1574" s="22">
        <v>446100</v>
      </c>
      <c r="Z1574" s="22">
        <v>1.0801989999999999E-2</v>
      </c>
    </row>
    <row r="1575" spans="19:26" ht="16" x14ac:dyDescent="0.2">
      <c r="S1575" s="23">
        <v>44420</v>
      </c>
      <c r="T1575" s="22">
        <v>30.899999600000001</v>
      </c>
      <c r="U1575" s="22">
        <v>30.899999600000001</v>
      </c>
      <c r="V1575" s="22">
        <v>30.280000699999999</v>
      </c>
      <c r="W1575" s="22">
        <v>30.799999199999998</v>
      </c>
      <c r="X1575" s="22">
        <v>26.135293999999998</v>
      </c>
      <c r="Y1575" s="22">
        <v>392200</v>
      </c>
      <c r="Z1575" s="22">
        <v>-2.5907E-3</v>
      </c>
    </row>
    <row r="1576" spans="19:26" ht="16" x14ac:dyDescent="0.2">
      <c r="S1576" s="23">
        <v>44421</v>
      </c>
      <c r="T1576" s="22">
        <v>30.969999300000001</v>
      </c>
      <c r="U1576" s="22">
        <v>31.25</v>
      </c>
      <c r="V1576" s="22">
        <v>30.670000099999999</v>
      </c>
      <c r="W1576" s="22">
        <v>31.170000099999999</v>
      </c>
      <c r="X1576" s="22">
        <v>26.449255000000001</v>
      </c>
      <c r="Y1576" s="22">
        <v>391500</v>
      </c>
      <c r="Z1576" s="22">
        <v>1.201291E-2</v>
      </c>
    </row>
    <row r="1577" spans="19:26" ht="16" x14ac:dyDescent="0.2">
      <c r="S1577" s="23">
        <v>44424</v>
      </c>
      <c r="T1577" s="22">
        <v>31.090000199999999</v>
      </c>
      <c r="U1577" s="22">
        <v>31.209999100000001</v>
      </c>
      <c r="V1577" s="22">
        <v>30.7600002</v>
      </c>
      <c r="W1577" s="22">
        <v>30.790000899999999</v>
      </c>
      <c r="X1577" s="22">
        <v>26.126808199999999</v>
      </c>
      <c r="Y1577" s="22">
        <v>523500</v>
      </c>
      <c r="Z1577" s="22">
        <v>-1.21911E-2</v>
      </c>
    </row>
    <row r="1578" spans="19:26" ht="16" x14ac:dyDescent="0.2">
      <c r="S1578" s="23">
        <v>44425</v>
      </c>
      <c r="T1578" s="22">
        <v>30.540000899999999</v>
      </c>
      <c r="U1578" s="22">
        <v>30.7600002</v>
      </c>
      <c r="V1578" s="22">
        <v>30.340000199999999</v>
      </c>
      <c r="W1578" s="22">
        <v>30.7600002</v>
      </c>
      <c r="X1578" s="22">
        <v>26.1013527</v>
      </c>
      <c r="Y1578" s="22">
        <v>638100</v>
      </c>
      <c r="Z1578" s="22">
        <v>-9.7429999999999999E-4</v>
      </c>
    </row>
    <row r="1579" spans="19:26" ht="16" x14ac:dyDescent="0.2">
      <c r="S1579" s="23">
        <v>44426</v>
      </c>
      <c r="T1579" s="22">
        <v>30.899999600000001</v>
      </c>
      <c r="U1579" s="22">
        <v>30.899999600000001</v>
      </c>
      <c r="V1579" s="22">
        <v>30.040000899999999</v>
      </c>
      <c r="W1579" s="22">
        <v>30.170000099999999</v>
      </c>
      <c r="X1579" s="22">
        <v>25.600708000000001</v>
      </c>
      <c r="Y1579" s="22">
        <v>899400</v>
      </c>
      <c r="Z1579" s="22">
        <v>-1.9180800000000001E-2</v>
      </c>
    </row>
    <row r="1580" spans="19:26" ht="16" x14ac:dyDescent="0.2">
      <c r="S1580" s="23">
        <v>44427</v>
      </c>
      <c r="T1580" s="22">
        <v>30.0599995</v>
      </c>
      <c r="U1580" s="22">
        <v>30.799999199999998</v>
      </c>
      <c r="V1580" s="22">
        <v>29.920000099999999</v>
      </c>
      <c r="W1580" s="22">
        <v>30.719999300000001</v>
      </c>
      <c r="X1580" s="22">
        <v>26.0674095</v>
      </c>
      <c r="Y1580" s="22">
        <v>504500</v>
      </c>
      <c r="Z1580" s="22">
        <v>1.823002E-2</v>
      </c>
    </row>
    <row r="1581" spans="19:26" ht="16" x14ac:dyDescent="0.2">
      <c r="S1581" s="23">
        <v>44428</v>
      </c>
      <c r="T1581" s="22">
        <v>30.7600002</v>
      </c>
      <c r="U1581" s="22">
        <v>31.170000099999999</v>
      </c>
      <c r="V1581" s="22">
        <v>30.600000399999999</v>
      </c>
      <c r="W1581" s="22">
        <v>31.139999400000001</v>
      </c>
      <c r="X1581" s="22">
        <v>26.423801399999999</v>
      </c>
      <c r="Y1581" s="22">
        <v>730800</v>
      </c>
      <c r="Z1581" s="22">
        <v>1.3671930000000001E-2</v>
      </c>
    </row>
    <row r="1582" spans="19:26" ht="16" x14ac:dyDescent="0.2">
      <c r="S1582" s="23">
        <v>44431</v>
      </c>
      <c r="T1582" s="22">
        <v>31.170000099999999</v>
      </c>
      <c r="U1582" s="22">
        <v>31.25</v>
      </c>
      <c r="V1582" s="22">
        <v>30.8199997</v>
      </c>
      <c r="W1582" s="22">
        <v>31.1200008</v>
      </c>
      <c r="X1582" s="22">
        <v>26.4068279</v>
      </c>
      <c r="Y1582" s="22">
        <v>460000</v>
      </c>
      <c r="Z1582" s="22">
        <v>-6.424E-4</v>
      </c>
    </row>
    <row r="1583" spans="19:26" ht="16" x14ac:dyDescent="0.2">
      <c r="S1583" s="23">
        <v>44432</v>
      </c>
      <c r="T1583" s="22">
        <v>31.329999900000001</v>
      </c>
      <c r="U1583" s="22">
        <v>31.5599995</v>
      </c>
      <c r="V1583" s="22">
        <v>31.139999400000001</v>
      </c>
      <c r="W1583" s="22">
        <v>31.270000499999998</v>
      </c>
      <c r="X1583" s="22">
        <v>26.534110999999999</v>
      </c>
      <c r="Y1583" s="22">
        <v>654900</v>
      </c>
      <c r="Z1583" s="22">
        <v>4.82008E-3</v>
      </c>
    </row>
    <row r="1584" spans="19:26" ht="16" x14ac:dyDescent="0.2">
      <c r="S1584" s="23">
        <v>44433</v>
      </c>
      <c r="T1584" s="22">
        <v>31.3099995</v>
      </c>
      <c r="U1584" s="22">
        <v>31.8700008</v>
      </c>
      <c r="V1584" s="22">
        <v>31.139999400000001</v>
      </c>
      <c r="W1584" s="22">
        <v>31.649999600000001</v>
      </c>
      <c r="X1584" s="22">
        <v>26.856559799999999</v>
      </c>
      <c r="Y1584" s="22">
        <v>650500</v>
      </c>
      <c r="Z1584" s="22">
        <v>1.215223E-2</v>
      </c>
    </row>
    <row r="1585" spans="19:26" ht="16" x14ac:dyDescent="0.2">
      <c r="S1585" s="23">
        <v>44434</v>
      </c>
      <c r="T1585" s="22">
        <v>31.8799992</v>
      </c>
      <c r="U1585" s="22">
        <v>32.029998800000001</v>
      </c>
      <c r="V1585" s="22">
        <v>31.600000399999999</v>
      </c>
      <c r="W1585" s="22">
        <v>31.709999100000001</v>
      </c>
      <c r="X1585" s="22">
        <v>26.907474499999999</v>
      </c>
      <c r="Y1585" s="22">
        <v>623800</v>
      </c>
      <c r="Z1585" s="22">
        <v>1.8958E-3</v>
      </c>
    </row>
    <row r="1586" spans="19:26" ht="16" x14ac:dyDescent="0.2">
      <c r="S1586" s="23">
        <v>44435</v>
      </c>
      <c r="T1586" s="22">
        <v>31.700000800000002</v>
      </c>
      <c r="U1586" s="22">
        <v>32.099998499999998</v>
      </c>
      <c r="V1586" s="22">
        <v>31.670000099999999</v>
      </c>
      <c r="W1586" s="22">
        <v>31.979999500000002</v>
      </c>
      <c r="X1586" s="22">
        <v>27.136583300000002</v>
      </c>
      <c r="Y1586" s="22">
        <v>513100</v>
      </c>
      <c r="Z1586" s="22">
        <v>8.5146900000000001E-3</v>
      </c>
    </row>
    <row r="1587" spans="19:26" ht="16" x14ac:dyDescent="0.2">
      <c r="S1587" s="23">
        <v>44438</v>
      </c>
      <c r="T1587" s="22">
        <v>32</v>
      </c>
      <c r="U1587" s="22">
        <v>32.119998899999999</v>
      </c>
      <c r="V1587" s="22">
        <v>31.780000699999999</v>
      </c>
      <c r="W1587" s="22">
        <v>31.829999900000001</v>
      </c>
      <c r="X1587" s="22">
        <v>27.0092964</v>
      </c>
      <c r="Y1587" s="22">
        <v>313400</v>
      </c>
      <c r="Z1587" s="22">
        <v>-4.6905999999999996E-3</v>
      </c>
    </row>
    <row r="1588" spans="19:26" ht="16" x14ac:dyDescent="0.2">
      <c r="S1588" s="23">
        <v>44439</v>
      </c>
      <c r="T1588" s="22">
        <v>31.6200008</v>
      </c>
      <c r="U1588" s="22">
        <v>31.6800003</v>
      </c>
      <c r="V1588" s="22">
        <v>31.329999900000001</v>
      </c>
      <c r="W1588" s="22">
        <v>31.389999400000001</v>
      </c>
      <c r="X1588" s="22">
        <v>26.919252400000001</v>
      </c>
      <c r="Y1588" s="22">
        <v>500500</v>
      </c>
      <c r="Z1588" s="22">
        <v>-3.3338E-3</v>
      </c>
    </row>
    <row r="1589" spans="19:26" ht="16" x14ac:dyDescent="0.2">
      <c r="S1589" s="23">
        <v>44440</v>
      </c>
      <c r="T1589" s="22">
        <v>31.540000899999999</v>
      </c>
      <c r="U1589" s="22">
        <v>31.889999400000001</v>
      </c>
      <c r="V1589" s="22">
        <v>31.399999600000001</v>
      </c>
      <c r="W1589" s="22">
        <v>31.719999300000001</v>
      </c>
      <c r="X1589" s="22">
        <v>27.202251400000002</v>
      </c>
      <c r="Y1589" s="22">
        <v>399800</v>
      </c>
      <c r="Z1589" s="22">
        <v>1.051289E-2</v>
      </c>
    </row>
    <row r="1590" spans="19:26" ht="16" x14ac:dyDescent="0.2">
      <c r="S1590" s="23">
        <v>44441</v>
      </c>
      <c r="T1590" s="22">
        <v>31.729999500000002</v>
      </c>
      <c r="U1590" s="22">
        <v>32.080001799999998</v>
      </c>
      <c r="V1590" s="22">
        <v>31.709999100000001</v>
      </c>
      <c r="W1590" s="22">
        <v>31.9300003</v>
      </c>
      <c r="X1590" s="22">
        <v>27.3823452</v>
      </c>
      <c r="Y1590" s="22">
        <v>446200</v>
      </c>
      <c r="Z1590" s="22">
        <v>6.6205500000000002E-3</v>
      </c>
    </row>
    <row r="1591" spans="19:26" ht="16" x14ac:dyDescent="0.2">
      <c r="S1591" s="23">
        <v>44442</v>
      </c>
      <c r="T1591" s="22">
        <v>32.200000799999998</v>
      </c>
      <c r="U1591" s="22">
        <v>32.340000199999999</v>
      </c>
      <c r="V1591" s="22">
        <v>31.6800003</v>
      </c>
      <c r="W1591" s="22">
        <v>31.700000800000002</v>
      </c>
      <c r="X1591" s="22">
        <v>27.1851044</v>
      </c>
      <c r="Y1591" s="22">
        <v>357800</v>
      </c>
      <c r="Z1591" s="22">
        <v>-7.2031999999999999E-3</v>
      </c>
    </row>
    <row r="1592" spans="19:26" ht="16" x14ac:dyDescent="0.2">
      <c r="S1592" s="23">
        <v>44446</v>
      </c>
      <c r="T1592" s="22">
        <v>31.5599995</v>
      </c>
      <c r="U1592" s="22">
        <v>31.6900005</v>
      </c>
      <c r="V1592" s="22">
        <v>31.2600002</v>
      </c>
      <c r="W1592" s="22">
        <v>31.3199997</v>
      </c>
      <c r="X1592" s="22">
        <v>26.859224300000001</v>
      </c>
      <c r="Y1592" s="22">
        <v>442300</v>
      </c>
      <c r="Z1592" s="22">
        <v>-1.19874E-2</v>
      </c>
    </row>
    <row r="1593" spans="19:26" ht="16" x14ac:dyDescent="0.2">
      <c r="S1593" s="23">
        <v>44447</v>
      </c>
      <c r="T1593" s="22">
        <v>31.25</v>
      </c>
      <c r="U1593" s="22">
        <v>31.840000199999999</v>
      </c>
      <c r="V1593" s="22">
        <v>31.159999800000001</v>
      </c>
      <c r="W1593" s="22">
        <v>31.7600002</v>
      </c>
      <c r="X1593" s="22">
        <v>27.236560799999999</v>
      </c>
      <c r="Y1593" s="22">
        <v>659300</v>
      </c>
      <c r="Z1593" s="22">
        <v>1.4048669999999999E-2</v>
      </c>
    </row>
    <row r="1594" spans="19:26" ht="16" x14ac:dyDescent="0.2">
      <c r="S1594" s="23">
        <v>44448</v>
      </c>
      <c r="T1594" s="22">
        <v>31.790000899999999</v>
      </c>
      <c r="U1594" s="22">
        <v>31.969999300000001</v>
      </c>
      <c r="V1594" s="22">
        <v>31.659999800000001</v>
      </c>
      <c r="W1594" s="22">
        <v>31.6900005</v>
      </c>
      <c r="X1594" s="22">
        <v>27.176528900000001</v>
      </c>
      <c r="Y1594" s="22">
        <v>407200</v>
      </c>
      <c r="Z1594" s="22">
        <v>-2.2041000000000001E-3</v>
      </c>
    </row>
    <row r="1595" spans="19:26" ht="16" x14ac:dyDescent="0.2">
      <c r="S1595" s="23">
        <v>44449</v>
      </c>
      <c r="T1595" s="22">
        <v>31.8099995</v>
      </c>
      <c r="U1595" s="22">
        <v>31.8099995</v>
      </c>
      <c r="V1595" s="22">
        <v>31.090000199999999</v>
      </c>
      <c r="W1595" s="22">
        <v>31.1200008</v>
      </c>
      <c r="X1595" s="22">
        <v>26.6877098</v>
      </c>
      <c r="Y1595" s="22">
        <v>494400</v>
      </c>
      <c r="Z1595" s="22">
        <v>-1.7986800000000001E-2</v>
      </c>
    </row>
    <row r="1596" spans="19:26" ht="16" x14ac:dyDescent="0.2">
      <c r="S1596" s="23">
        <v>44452</v>
      </c>
      <c r="T1596" s="22">
        <v>31.270000499999998</v>
      </c>
      <c r="U1596" s="22">
        <v>31.3199997</v>
      </c>
      <c r="V1596" s="22">
        <v>30.700000800000002</v>
      </c>
      <c r="W1596" s="22">
        <v>30.840000199999999</v>
      </c>
      <c r="X1596" s="22">
        <v>26.447589900000001</v>
      </c>
      <c r="Y1596" s="22">
        <v>580200</v>
      </c>
      <c r="Z1596" s="22">
        <v>-8.9973999999999991E-3</v>
      </c>
    </row>
    <row r="1597" spans="19:26" ht="16" x14ac:dyDescent="0.2">
      <c r="S1597" s="23">
        <v>44453</v>
      </c>
      <c r="T1597" s="22">
        <v>30.850000399999999</v>
      </c>
      <c r="U1597" s="22">
        <v>31.270000499999998</v>
      </c>
      <c r="V1597" s="22">
        <v>30.75</v>
      </c>
      <c r="W1597" s="22">
        <v>31.139999400000001</v>
      </c>
      <c r="X1597" s="22">
        <v>26.704860700000001</v>
      </c>
      <c r="Y1597" s="22">
        <v>476000</v>
      </c>
      <c r="Z1597" s="22">
        <v>9.7275699999999996E-3</v>
      </c>
    </row>
    <row r="1598" spans="19:26" ht="16" x14ac:dyDescent="0.2">
      <c r="S1598" s="23">
        <v>44454</v>
      </c>
      <c r="T1598" s="22">
        <v>31.0599995</v>
      </c>
      <c r="U1598" s="22">
        <v>31.6299992</v>
      </c>
      <c r="V1598" s="22">
        <v>30.8700008</v>
      </c>
      <c r="W1598" s="22">
        <v>31.530000699999999</v>
      </c>
      <c r="X1598" s="22">
        <v>27.039316199999998</v>
      </c>
      <c r="Y1598" s="22">
        <v>480500</v>
      </c>
      <c r="Z1598" s="22">
        <v>1.252414E-2</v>
      </c>
    </row>
    <row r="1599" spans="19:26" ht="16" x14ac:dyDescent="0.2">
      <c r="S1599" s="23">
        <v>44455</v>
      </c>
      <c r="T1599" s="22">
        <v>31.479999500000002</v>
      </c>
      <c r="U1599" s="22">
        <v>31.659999800000001</v>
      </c>
      <c r="V1599" s="22">
        <v>31.159999800000001</v>
      </c>
      <c r="W1599" s="22">
        <v>31.469999300000001</v>
      </c>
      <c r="X1599" s="22">
        <v>26.987859700000001</v>
      </c>
      <c r="Y1599" s="22">
        <v>858700</v>
      </c>
      <c r="Z1599" s="22">
        <v>-1.903E-3</v>
      </c>
    </row>
    <row r="1600" spans="19:26" ht="16" x14ac:dyDescent="0.2">
      <c r="S1600" s="23">
        <v>44456</v>
      </c>
      <c r="T1600" s="22">
        <v>31.549999199999998</v>
      </c>
      <c r="U1600" s="22">
        <v>31.729999500000002</v>
      </c>
      <c r="V1600" s="22">
        <v>31.159999800000001</v>
      </c>
      <c r="W1600" s="22">
        <v>31.700000800000002</v>
      </c>
      <c r="X1600" s="22">
        <v>27.1851044</v>
      </c>
      <c r="Y1600" s="22">
        <v>1441500</v>
      </c>
      <c r="Z1600" s="22">
        <v>7.3086399999999999E-3</v>
      </c>
    </row>
    <row r="1601" spans="19:26" ht="16" x14ac:dyDescent="0.2">
      <c r="S1601" s="23">
        <v>44459</v>
      </c>
      <c r="T1601" s="22">
        <v>31.399999600000001</v>
      </c>
      <c r="U1601" s="22">
        <v>31.549999199999998</v>
      </c>
      <c r="V1601" s="22">
        <v>30.719999300000001</v>
      </c>
      <c r="W1601" s="22">
        <v>31.360000599999999</v>
      </c>
      <c r="X1601" s="22">
        <v>26.893529900000001</v>
      </c>
      <c r="Y1601" s="22">
        <v>845800</v>
      </c>
      <c r="Z1601" s="22">
        <v>-1.0725500000000001E-2</v>
      </c>
    </row>
    <row r="1602" spans="19:26" ht="16" x14ac:dyDescent="0.2">
      <c r="S1602" s="23">
        <v>44460</v>
      </c>
      <c r="T1602" s="22">
        <v>31.600000399999999</v>
      </c>
      <c r="U1602" s="22">
        <v>31.700000800000002</v>
      </c>
      <c r="V1602" s="22">
        <v>31.170000099999999</v>
      </c>
      <c r="W1602" s="22">
        <v>31.219999300000001</v>
      </c>
      <c r="X1602" s="22">
        <v>26.773464199999999</v>
      </c>
      <c r="Y1602" s="22">
        <v>371200</v>
      </c>
      <c r="Z1602" s="22">
        <v>-4.4644999999999997E-3</v>
      </c>
    </row>
    <row r="1603" spans="19:26" ht="16" x14ac:dyDescent="0.2">
      <c r="S1603" s="23">
        <v>44461</v>
      </c>
      <c r="T1603" s="22">
        <v>31.2399998</v>
      </c>
      <c r="U1603" s="22">
        <v>32.240001700000001</v>
      </c>
      <c r="V1603" s="22">
        <v>31.2399998</v>
      </c>
      <c r="W1603" s="22">
        <v>31.8700008</v>
      </c>
      <c r="X1603" s="22">
        <v>27.330892599999999</v>
      </c>
      <c r="Y1603" s="22">
        <v>530500</v>
      </c>
      <c r="Z1603" s="22">
        <v>2.0820180000000001E-2</v>
      </c>
    </row>
    <row r="1604" spans="19:26" ht="16" x14ac:dyDescent="0.2">
      <c r="S1604" s="23">
        <v>44462</v>
      </c>
      <c r="T1604" s="22">
        <v>32.049999200000002</v>
      </c>
      <c r="U1604" s="22">
        <v>32.470001199999999</v>
      </c>
      <c r="V1604" s="22">
        <v>31.7399998</v>
      </c>
      <c r="W1604" s="22">
        <v>32.009998299999999</v>
      </c>
      <c r="X1604" s="22">
        <v>27.450948700000001</v>
      </c>
      <c r="Y1604" s="22">
        <v>621500</v>
      </c>
      <c r="Z1604" s="22">
        <v>4.3926900000000003E-3</v>
      </c>
    </row>
    <row r="1605" spans="19:26" ht="16" x14ac:dyDescent="0.2">
      <c r="S1605" s="23">
        <v>44463</v>
      </c>
      <c r="T1605" s="22">
        <v>32.060001399999997</v>
      </c>
      <c r="U1605" s="22">
        <v>32.330001799999998</v>
      </c>
      <c r="V1605" s="22">
        <v>31.790000899999999</v>
      </c>
      <c r="W1605" s="22">
        <v>31.829999900000001</v>
      </c>
      <c r="X1605" s="22">
        <v>27.296585100000001</v>
      </c>
      <c r="Y1605" s="22">
        <v>489700</v>
      </c>
      <c r="Z1605" s="22">
        <v>-5.6233000000000003E-3</v>
      </c>
    </row>
    <row r="1606" spans="19:26" ht="16" x14ac:dyDescent="0.2">
      <c r="S1606" s="23">
        <v>44466</v>
      </c>
      <c r="T1606" s="22">
        <v>31.829999900000001</v>
      </c>
      <c r="U1606" s="22">
        <v>31.829999900000001</v>
      </c>
      <c r="V1606" s="22">
        <v>30.780000699999999</v>
      </c>
      <c r="W1606" s="22">
        <v>30.850000399999999</v>
      </c>
      <c r="X1606" s="22">
        <v>26.4561615</v>
      </c>
      <c r="Y1606" s="22">
        <v>472200</v>
      </c>
      <c r="Z1606" s="22">
        <v>-3.0788599999999999E-2</v>
      </c>
    </row>
    <row r="1607" spans="19:26" ht="16" x14ac:dyDescent="0.2">
      <c r="S1607" s="23">
        <v>44467</v>
      </c>
      <c r="T1607" s="22">
        <v>30.799999199999998</v>
      </c>
      <c r="U1607" s="22">
        <v>30.920000099999999</v>
      </c>
      <c r="V1607" s="22">
        <v>30.3199997</v>
      </c>
      <c r="W1607" s="22">
        <v>30.4300003</v>
      </c>
      <c r="X1607" s="22">
        <v>26.095981600000002</v>
      </c>
      <c r="Y1607" s="22">
        <v>505300</v>
      </c>
      <c r="Z1607" s="22">
        <v>-1.36142E-2</v>
      </c>
    </row>
    <row r="1608" spans="19:26" ht="16" x14ac:dyDescent="0.2">
      <c r="S1608" s="23">
        <v>44468</v>
      </c>
      <c r="T1608" s="22">
        <v>30.5100002</v>
      </c>
      <c r="U1608" s="22">
        <v>31.0599995</v>
      </c>
      <c r="V1608" s="22">
        <v>30.329999900000001</v>
      </c>
      <c r="W1608" s="22">
        <v>30.840000199999999</v>
      </c>
      <c r="X1608" s="22">
        <v>26.447589900000001</v>
      </c>
      <c r="Y1608" s="22">
        <v>398300</v>
      </c>
      <c r="Z1608" s="22">
        <v>1.347366E-2</v>
      </c>
    </row>
    <row r="1609" spans="19:26" ht="16" x14ac:dyDescent="0.2">
      <c r="S1609" s="23">
        <v>44469</v>
      </c>
      <c r="T1609" s="22">
        <v>30.850000399999999</v>
      </c>
      <c r="U1609" s="22">
        <v>30.850000399999999</v>
      </c>
      <c r="V1609" s="22">
        <v>30.2600002</v>
      </c>
      <c r="W1609" s="22">
        <v>30.270000499999998</v>
      </c>
      <c r="X1609" s="22">
        <v>25.9587708</v>
      </c>
      <c r="Y1609" s="22">
        <v>441600</v>
      </c>
      <c r="Z1609" s="22">
        <v>-1.8482599999999998E-2</v>
      </c>
    </row>
    <row r="1610" spans="19:26" ht="16" x14ac:dyDescent="0.2">
      <c r="S1610" s="23">
        <v>44470</v>
      </c>
      <c r="T1610" s="22">
        <v>30.5699997</v>
      </c>
      <c r="U1610" s="22">
        <v>30.6200008</v>
      </c>
      <c r="V1610" s="22">
        <v>30.110000599999999</v>
      </c>
      <c r="W1610" s="22">
        <v>30.209999100000001</v>
      </c>
      <c r="X1610" s="22">
        <v>25.907314299999999</v>
      </c>
      <c r="Y1610" s="22">
        <v>319500</v>
      </c>
      <c r="Z1610" s="22">
        <v>-1.9821999999999999E-3</v>
      </c>
    </row>
    <row r="1611" spans="19:26" ht="16" x14ac:dyDescent="0.2">
      <c r="S1611" s="23">
        <v>44473</v>
      </c>
      <c r="T1611" s="22">
        <v>30.0599995</v>
      </c>
      <c r="U1611" s="22">
        <v>30.540000899999999</v>
      </c>
      <c r="V1611" s="22">
        <v>30.030000699999999</v>
      </c>
      <c r="W1611" s="22">
        <v>30.399999600000001</v>
      </c>
      <c r="X1611" s="22">
        <v>26.070253399999999</v>
      </c>
      <c r="Y1611" s="22">
        <v>559000</v>
      </c>
      <c r="Z1611" s="22">
        <v>6.2893100000000002E-3</v>
      </c>
    </row>
    <row r="1612" spans="19:26" ht="16" x14ac:dyDescent="0.2">
      <c r="S1612" s="23">
        <v>44474</v>
      </c>
      <c r="T1612" s="22">
        <v>31.1299992</v>
      </c>
      <c r="U1612" s="22">
        <v>31.4400005</v>
      </c>
      <c r="V1612" s="22">
        <v>30.8700008</v>
      </c>
      <c r="W1612" s="22">
        <v>31.200000800000002</v>
      </c>
      <c r="X1612" s="22">
        <v>26.7563152</v>
      </c>
      <c r="Y1612" s="22">
        <v>578300</v>
      </c>
      <c r="Z1612" s="22">
        <v>2.6315890000000002E-2</v>
      </c>
    </row>
    <row r="1613" spans="19:26" ht="16" x14ac:dyDescent="0.2">
      <c r="S1613" s="23">
        <v>44475</v>
      </c>
      <c r="T1613" s="22">
        <v>30.9400005</v>
      </c>
      <c r="U1613" s="22">
        <v>31.770000499999998</v>
      </c>
      <c r="V1613" s="22">
        <v>30.920000099999999</v>
      </c>
      <c r="W1613" s="22">
        <v>31.709999100000001</v>
      </c>
      <c r="X1613" s="22">
        <v>27.193679800000002</v>
      </c>
      <c r="Y1613" s="22">
        <v>570000</v>
      </c>
      <c r="Z1613" s="22">
        <v>1.6346220000000002E-2</v>
      </c>
    </row>
    <row r="1614" spans="19:26" ht="16" x14ac:dyDescent="0.2">
      <c r="S1614" s="23">
        <v>44476</v>
      </c>
      <c r="T1614" s="22">
        <v>31.7600002</v>
      </c>
      <c r="U1614" s="22">
        <v>32.529998800000001</v>
      </c>
      <c r="V1614" s="22">
        <v>31.649999600000001</v>
      </c>
      <c r="W1614" s="22">
        <v>32.159999800000001</v>
      </c>
      <c r="X1614" s="22">
        <v>27.579584100000002</v>
      </c>
      <c r="Y1614" s="22">
        <v>744100</v>
      </c>
      <c r="Z1614" s="22">
        <v>1.4190960000000001E-2</v>
      </c>
    </row>
    <row r="1615" spans="19:26" ht="16" x14ac:dyDescent="0.2">
      <c r="S1615" s="23">
        <v>44477</v>
      </c>
      <c r="T1615" s="22">
        <v>32.110000599999999</v>
      </c>
      <c r="U1615" s="22">
        <v>32.569999699999997</v>
      </c>
      <c r="V1615" s="22">
        <v>32.029998800000001</v>
      </c>
      <c r="W1615" s="22">
        <v>32.310001399999997</v>
      </c>
      <c r="X1615" s="22">
        <v>27.7082272</v>
      </c>
      <c r="Y1615" s="22">
        <v>702900</v>
      </c>
      <c r="Z1615" s="22">
        <v>4.6644299999999998E-3</v>
      </c>
    </row>
    <row r="1616" spans="19:26" ht="16" x14ac:dyDescent="0.2">
      <c r="S1616" s="23">
        <v>44480</v>
      </c>
      <c r="T1616" s="22">
        <v>32.979999499999998</v>
      </c>
      <c r="U1616" s="22">
        <v>34.639999400000001</v>
      </c>
      <c r="V1616" s="22">
        <v>32.849998499999998</v>
      </c>
      <c r="W1616" s="22">
        <v>33.459999099999997</v>
      </c>
      <c r="X1616" s="22">
        <v>28.694431300000002</v>
      </c>
      <c r="Y1616" s="22">
        <v>1690800</v>
      </c>
      <c r="Z1616" s="22">
        <v>3.5592470000000001E-2</v>
      </c>
    </row>
    <row r="1617" spans="19:26" ht="16" x14ac:dyDescent="0.2">
      <c r="S1617" s="23">
        <v>44481</v>
      </c>
      <c r="T1617" s="22">
        <v>33.529998800000001</v>
      </c>
      <c r="U1617" s="22">
        <v>33.819999699999997</v>
      </c>
      <c r="V1617" s="22">
        <v>33.240001700000001</v>
      </c>
      <c r="W1617" s="22">
        <v>33.599998499999998</v>
      </c>
      <c r="X1617" s="22">
        <v>28.8144913</v>
      </c>
      <c r="Y1617" s="22">
        <v>1032200</v>
      </c>
      <c r="Z1617" s="22">
        <v>4.1840899999999997E-3</v>
      </c>
    </row>
    <row r="1618" spans="19:26" ht="16" x14ac:dyDescent="0.2">
      <c r="S1618" s="23">
        <v>44482</v>
      </c>
      <c r="T1618" s="22">
        <v>33.729999499999998</v>
      </c>
      <c r="U1618" s="22">
        <v>34.450000799999998</v>
      </c>
      <c r="V1618" s="22">
        <v>33.729999499999998</v>
      </c>
      <c r="W1618" s="22">
        <v>33.860000599999999</v>
      </c>
      <c r="X1618" s="22">
        <v>29.037465999999998</v>
      </c>
      <c r="Y1618" s="22">
        <v>920000</v>
      </c>
      <c r="Z1618" s="22">
        <v>7.7382900000000001E-3</v>
      </c>
    </row>
    <row r="1619" spans="19:26" ht="16" x14ac:dyDescent="0.2">
      <c r="S1619" s="23">
        <v>44483</v>
      </c>
      <c r="T1619" s="22">
        <v>33.869998899999999</v>
      </c>
      <c r="U1619" s="22">
        <v>34.150001500000002</v>
      </c>
      <c r="V1619" s="22">
        <v>33.110000599999999</v>
      </c>
      <c r="W1619" s="22">
        <v>33.209999099999997</v>
      </c>
      <c r="X1619" s="22">
        <v>28.480041499999999</v>
      </c>
      <c r="Y1619" s="22">
        <v>789500</v>
      </c>
      <c r="Z1619" s="22">
        <v>-1.9196700000000001E-2</v>
      </c>
    </row>
    <row r="1620" spans="19:26" ht="16" x14ac:dyDescent="0.2">
      <c r="S1620" s="23">
        <v>44484</v>
      </c>
      <c r="T1620" s="22">
        <v>33.400001500000002</v>
      </c>
      <c r="U1620" s="22">
        <v>33.400001500000002</v>
      </c>
      <c r="V1620" s="22">
        <v>31.200000800000002</v>
      </c>
      <c r="W1620" s="22">
        <v>31.219999300000001</v>
      </c>
      <c r="X1620" s="22">
        <v>26.773464199999999</v>
      </c>
      <c r="Y1620" s="22">
        <v>5150800</v>
      </c>
      <c r="Z1620" s="22">
        <v>-5.99219E-2</v>
      </c>
    </row>
    <row r="1621" spans="19:26" ht="16" x14ac:dyDescent="0.2">
      <c r="S1621" s="23">
        <v>44487</v>
      </c>
      <c r="T1621" s="22">
        <v>31.1299992</v>
      </c>
      <c r="U1621" s="22">
        <v>31.590000199999999</v>
      </c>
      <c r="V1621" s="22">
        <v>30.799999199999998</v>
      </c>
      <c r="W1621" s="22">
        <v>31.229999500000002</v>
      </c>
      <c r="X1621" s="22">
        <v>26.782041499999998</v>
      </c>
      <c r="Y1621" s="22">
        <v>732400</v>
      </c>
      <c r="Z1621" s="22">
        <v>3.2037E-4</v>
      </c>
    </row>
    <row r="1622" spans="19:26" ht="16" x14ac:dyDescent="0.2">
      <c r="S1622" s="23">
        <v>44488</v>
      </c>
      <c r="T1622" s="22">
        <v>31.229999500000002</v>
      </c>
      <c r="U1622" s="22">
        <v>31.9300003</v>
      </c>
      <c r="V1622" s="22">
        <v>31.229999500000002</v>
      </c>
      <c r="W1622" s="22">
        <v>31.8199997</v>
      </c>
      <c r="X1622" s="22">
        <v>27.288011600000001</v>
      </c>
      <c r="Y1622" s="22">
        <v>517700</v>
      </c>
      <c r="Z1622" s="22">
        <v>1.8892140000000002E-2</v>
      </c>
    </row>
    <row r="1623" spans="19:26" ht="16" x14ac:dyDescent="0.2">
      <c r="S1623" s="23">
        <v>44489</v>
      </c>
      <c r="T1623" s="22">
        <v>31.8199997</v>
      </c>
      <c r="U1623" s="22">
        <v>32.159999800000001</v>
      </c>
      <c r="V1623" s="22">
        <v>31.469999300000001</v>
      </c>
      <c r="W1623" s="22">
        <v>31.5699997</v>
      </c>
      <c r="X1623" s="22">
        <v>27.073617899999999</v>
      </c>
      <c r="Y1623" s="22">
        <v>577900</v>
      </c>
      <c r="Z1623" s="22">
        <v>-7.8566999999999994E-3</v>
      </c>
    </row>
    <row r="1624" spans="19:26" ht="16" x14ac:dyDescent="0.2">
      <c r="S1624" s="23">
        <v>44490</v>
      </c>
      <c r="T1624" s="22">
        <v>31.5699997</v>
      </c>
      <c r="U1624" s="22">
        <v>31.959999100000001</v>
      </c>
      <c r="V1624" s="22">
        <v>31.5599995</v>
      </c>
      <c r="W1624" s="22">
        <v>31.719999300000001</v>
      </c>
      <c r="X1624" s="22">
        <v>27.202251400000002</v>
      </c>
      <c r="Y1624" s="22">
        <v>440400</v>
      </c>
      <c r="Z1624" s="22">
        <v>4.7512500000000003E-3</v>
      </c>
    </row>
    <row r="1625" spans="19:26" ht="16" x14ac:dyDescent="0.2">
      <c r="S1625" s="23">
        <v>44491</v>
      </c>
      <c r="T1625" s="22">
        <v>31.7399998</v>
      </c>
      <c r="U1625" s="22">
        <v>32.150001500000002</v>
      </c>
      <c r="V1625" s="22">
        <v>31.5599995</v>
      </c>
      <c r="W1625" s="22">
        <v>32.139999400000001</v>
      </c>
      <c r="X1625" s="22">
        <v>27.5624371</v>
      </c>
      <c r="Y1625" s="22">
        <v>773900</v>
      </c>
      <c r="Z1625" s="22">
        <v>1.3241019999999999E-2</v>
      </c>
    </row>
    <row r="1626" spans="19:26" ht="16" x14ac:dyDescent="0.2">
      <c r="S1626" s="23">
        <v>44494</v>
      </c>
      <c r="T1626" s="22">
        <v>32.110000599999999</v>
      </c>
      <c r="U1626" s="22">
        <v>33.860000599999999</v>
      </c>
      <c r="V1626" s="22">
        <v>32.110000599999999</v>
      </c>
      <c r="W1626" s="22">
        <v>33.590000199999999</v>
      </c>
      <c r="X1626" s="22">
        <v>28.805917699999998</v>
      </c>
      <c r="Y1626" s="22">
        <v>1403500</v>
      </c>
      <c r="Z1626" s="22">
        <v>4.5115049999999997E-2</v>
      </c>
    </row>
    <row r="1627" spans="19:26" ht="16" x14ac:dyDescent="0.2">
      <c r="S1627" s="23">
        <v>44495</v>
      </c>
      <c r="T1627" s="22">
        <v>33.569999699999997</v>
      </c>
      <c r="U1627" s="22">
        <v>34.139999400000001</v>
      </c>
      <c r="V1627" s="22">
        <v>33.349998499999998</v>
      </c>
      <c r="W1627" s="22">
        <v>34.099998499999998</v>
      </c>
      <c r="X1627" s="22">
        <v>29.2432804</v>
      </c>
      <c r="Y1627" s="22">
        <v>692700</v>
      </c>
      <c r="Z1627" s="22">
        <v>1.518308E-2</v>
      </c>
    </row>
    <row r="1628" spans="19:26" ht="16" x14ac:dyDescent="0.2">
      <c r="S1628" s="23">
        <v>44496</v>
      </c>
      <c r="T1628" s="22">
        <v>34.299999200000002</v>
      </c>
      <c r="U1628" s="22">
        <v>34.529998800000001</v>
      </c>
      <c r="V1628" s="22">
        <v>33.75</v>
      </c>
      <c r="W1628" s="22">
        <v>33.790000900000003</v>
      </c>
      <c r="X1628" s="22">
        <v>28.977434200000001</v>
      </c>
      <c r="Y1628" s="22">
        <v>428700</v>
      </c>
      <c r="Z1628" s="22">
        <v>-9.0907999999999996E-3</v>
      </c>
    </row>
    <row r="1629" spans="19:26" ht="16" x14ac:dyDescent="0.2">
      <c r="S1629" s="23">
        <v>44497</v>
      </c>
      <c r="T1629" s="22">
        <v>34.020000500000002</v>
      </c>
      <c r="U1629" s="22">
        <v>34.939998600000003</v>
      </c>
      <c r="V1629" s="22">
        <v>34.020000500000002</v>
      </c>
      <c r="W1629" s="22">
        <v>34.889999400000001</v>
      </c>
      <c r="X1629" s="22">
        <v>29.920770600000001</v>
      </c>
      <c r="Y1629" s="22">
        <v>555300</v>
      </c>
      <c r="Z1629" s="22">
        <v>3.2554180000000002E-2</v>
      </c>
    </row>
    <row r="1630" spans="19:26" ht="16" x14ac:dyDescent="0.2">
      <c r="S1630" s="23">
        <v>44498</v>
      </c>
      <c r="T1630" s="22">
        <v>34.700000799999998</v>
      </c>
      <c r="U1630" s="22">
        <v>35.529998800000001</v>
      </c>
      <c r="V1630" s="22">
        <v>34.700000799999998</v>
      </c>
      <c r="W1630" s="22">
        <v>35.479999499999998</v>
      </c>
      <c r="X1630" s="22">
        <v>30.4267292</v>
      </c>
      <c r="Y1630" s="22">
        <v>594400</v>
      </c>
      <c r="Z1630" s="22">
        <v>1.6909939999999998E-2</v>
      </c>
    </row>
    <row r="1631" spans="19:26" ht="16" x14ac:dyDescent="0.2">
      <c r="S1631" s="23">
        <v>44501</v>
      </c>
      <c r="T1631" s="22">
        <v>35.509998299999999</v>
      </c>
      <c r="U1631" s="22">
        <v>36.470001199999999</v>
      </c>
      <c r="V1631" s="22">
        <v>35.5</v>
      </c>
      <c r="W1631" s="22">
        <v>36.310001399999997</v>
      </c>
      <c r="X1631" s="22">
        <v>31.138519299999999</v>
      </c>
      <c r="Y1631" s="22">
        <v>725600</v>
      </c>
      <c r="Z1631" s="22">
        <v>2.3393580000000001E-2</v>
      </c>
    </row>
    <row r="1632" spans="19:26" ht="16" x14ac:dyDescent="0.2">
      <c r="S1632" s="23">
        <v>44502</v>
      </c>
      <c r="T1632" s="22">
        <v>36.380001100000001</v>
      </c>
      <c r="U1632" s="22">
        <v>36.380001100000001</v>
      </c>
      <c r="V1632" s="22">
        <v>35.119998899999999</v>
      </c>
      <c r="W1632" s="22">
        <v>35.470001199999999</v>
      </c>
      <c r="X1632" s="22">
        <v>30.418157600000001</v>
      </c>
      <c r="Y1632" s="22">
        <v>738200</v>
      </c>
      <c r="Z1632" s="22">
        <v>-2.3134100000000001E-2</v>
      </c>
    </row>
    <row r="1633" spans="19:26" ht="16" x14ac:dyDescent="0.2">
      <c r="S1633" s="23">
        <v>44503</v>
      </c>
      <c r="T1633" s="22">
        <v>35.270000500000002</v>
      </c>
      <c r="U1633" s="22">
        <v>35.560001399999997</v>
      </c>
      <c r="V1633" s="22">
        <v>34.939998600000003</v>
      </c>
      <c r="W1633" s="22">
        <v>35.529998800000001</v>
      </c>
      <c r="X1633" s="22">
        <v>30.469614</v>
      </c>
      <c r="Y1633" s="22">
        <v>745200</v>
      </c>
      <c r="Z1633" s="22">
        <v>1.6916399999999999E-3</v>
      </c>
    </row>
    <row r="1634" spans="19:26" ht="16" x14ac:dyDescent="0.2">
      <c r="S1634" s="23">
        <v>44504</v>
      </c>
      <c r="T1634" s="22">
        <v>35</v>
      </c>
      <c r="U1634" s="22">
        <v>37.029998800000001</v>
      </c>
      <c r="V1634" s="22">
        <v>34.619998899999999</v>
      </c>
      <c r="W1634" s="22">
        <v>36.799999200000002</v>
      </c>
      <c r="X1634" s="22">
        <v>31.5587254</v>
      </c>
      <c r="Y1634" s="22">
        <v>715600</v>
      </c>
      <c r="Z1634" s="22">
        <v>3.574418E-2</v>
      </c>
    </row>
    <row r="1635" spans="19:26" ht="16" x14ac:dyDescent="0.2">
      <c r="S1635" s="23">
        <v>44505</v>
      </c>
      <c r="T1635" s="22">
        <v>37.119998899999999</v>
      </c>
      <c r="U1635" s="22">
        <v>37.889999400000001</v>
      </c>
      <c r="V1635" s="22">
        <v>37.020000500000002</v>
      </c>
      <c r="W1635" s="22">
        <v>37.529998800000001</v>
      </c>
      <c r="X1635" s="22">
        <v>32.184761000000002</v>
      </c>
      <c r="Y1635" s="22">
        <v>739000</v>
      </c>
      <c r="Z1635" s="22">
        <v>1.9837170000000001E-2</v>
      </c>
    </row>
    <row r="1636" spans="19:26" ht="16" x14ac:dyDescent="0.2">
      <c r="S1636" s="23">
        <v>44508</v>
      </c>
      <c r="T1636" s="22">
        <v>37.619998899999999</v>
      </c>
      <c r="U1636" s="22">
        <v>37.619998899999999</v>
      </c>
      <c r="V1636" s="22">
        <v>36.619998899999999</v>
      </c>
      <c r="W1636" s="22">
        <v>36.740001700000001</v>
      </c>
      <c r="X1636" s="22">
        <v>31.507278400000001</v>
      </c>
      <c r="Y1636" s="22">
        <v>617500</v>
      </c>
      <c r="Z1636" s="22">
        <v>-2.10498E-2</v>
      </c>
    </row>
    <row r="1637" spans="19:26" ht="16" x14ac:dyDescent="0.2">
      <c r="S1637" s="23">
        <v>44509</v>
      </c>
      <c r="T1637" s="22">
        <v>36.849998499999998</v>
      </c>
      <c r="U1637" s="22">
        <v>37.080001799999998</v>
      </c>
      <c r="V1637" s="22">
        <v>36.630001100000001</v>
      </c>
      <c r="W1637" s="22">
        <v>36.75</v>
      </c>
      <c r="X1637" s="22">
        <v>31.515857700000002</v>
      </c>
      <c r="Y1637" s="22">
        <v>632800</v>
      </c>
      <c r="Z1637" s="22">
        <v>2.7229000000000001E-4</v>
      </c>
    </row>
    <row r="1638" spans="19:26" ht="16" x14ac:dyDescent="0.2">
      <c r="S1638" s="23">
        <v>44510</v>
      </c>
      <c r="T1638" s="22">
        <v>36.520000500000002</v>
      </c>
      <c r="U1638" s="22">
        <v>37.060001399999997</v>
      </c>
      <c r="V1638" s="22">
        <v>36.409999800000001</v>
      </c>
      <c r="W1638" s="22">
        <v>37</v>
      </c>
      <c r="X1638" s="22">
        <v>31.7302456</v>
      </c>
      <c r="Y1638" s="22">
        <v>590800</v>
      </c>
      <c r="Z1638" s="22">
        <v>6.8025400000000001E-3</v>
      </c>
    </row>
    <row r="1639" spans="19:26" ht="16" x14ac:dyDescent="0.2">
      <c r="S1639" s="23">
        <v>44511</v>
      </c>
      <c r="T1639" s="22">
        <v>37.180000300000003</v>
      </c>
      <c r="U1639" s="22">
        <v>37.779998800000001</v>
      </c>
      <c r="V1639" s="22">
        <v>36.939998600000003</v>
      </c>
      <c r="W1639" s="22">
        <v>37.5</v>
      </c>
      <c r="X1639" s="22">
        <v>32.159034699999999</v>
      </c>
      <c r="Y1639" s="22">
        <v>848300</v>
      </c>
      <c r="Z1639" s="22">
        <v>1.3513580000000001E-2</v>
      </c>
    </row>
    <row r="1640" spans="19:26" ht="16" x14ac:dyDescent="0.2">
      <c r="S1640" s="23">
        <v>44512</v>
      </c>
      <c r="T1640" s="22">
        <v>37.490001700000001</v>
      </c>
      <c r="U1640" s="22">
        <v>38.040000900000003</v>
      </c>
      <c r="V1640" s="22">
        <v>37.229999499999998</v>
      </c>
      <c r="W1640" s="22">
        <v>37.400001500000002</v>
      </c>
      <c r="X1640" s="22">
        <v>32.073276499999999</v>
      </c>
      <c r="Y1640" s="22">
        <v>938400</v>
      </c>
      <c r="Z1640" s="22">
        <v>-2.6667000000000001E-3</v>
      </c>
    </row>
    <row r="1641" spans="19:26" ht="16" x14ac:dyDescent="0.2">
      <c r="S1641" s="23">
        <v>44515</v>
      </c>
      <c r="T1641" s="22">
        <v>37.590000199999999</v>
      </c>
      <c r="U1641" s="22">
        <v>37.919998200000002</v>
      </c>
      <c r="V1641" s="22">
        <v>37.450000799999998</v>
      </c>
      <c r="W1641" s="22">
        <v>37.900001500000002</v>
      </c>
      <c r="X1641" s="22">
        <v>32.502063800000002</v>
      </c>
      <c r="Y1641" s="22">
        <v>398900</v>
      </c>
      <c r="Z1641" s="22">
        <v>1.3368990000000001E-2</v>
      </c>
    </row>
    <row r="1642" spans="19:26" ht="16" x14ac:dyDescent="0.2">
      <c r="S1642" s="23">
        <v>44516</v>
      </c>
      <c r="T1642" s="22">
        <v>38</v>
      </c>
      <c r="U1642" s="22">
        <v>38.340000199999999</v>
      </c>
      <c r="V1642" s="22">
        <v>37.439998600000003</v>
      </c>
      <c r="W1642" s="22">
        <v>37.759998299999999</v>
      </c>
      <c r="X1642" s="22">
        <v>32.381996200000003</v>
      </c>
      <c r="Y1642" s="22">
        <v>379400</v>
      </c>
      <c r="Z1642" s="22">
        <v>-3.6941999999999999E-3</v>
      </c>
    </row>
    <row r="1643" spans="19:26" ht="16" x14ac:dyDescent="0.2">
      <c r="S1643" s="23">
        <v>44517</v>
      </c>
      <c r="T1643" s="22">
        <v>37.529998800000001</v>
      </c>
      <c r="U1643" s="22">
        <v>38.490001700000001</v>
      </c>
      <c r="V1643" s="22">
        <v>37.529998800000001</v>
      </c>
      <c r="W1643" s="22">
        <v>38.459999099999997</v>
      </c>
      <c r="X1643" s="22">
        <v>32.982303600000002</v>
      </c>
      <c r="Y1643" s="22">
        <v>376100</v>
      </c>
      <c r="Z1643" s="22">
        <v>1.8538309999999999E-2</v>
      </c>
    </row>
    <row r="1644" spans="19:26" ht="16" x14ac:dyDescent="0.2">
      <c r="S1644" s="23">
        <v>44518</v>
      </c>
      <c r="T1644" s="22">
        <v>38.529998800000001</v>
      </c>
      <c r="U1644" s="22">
        <v>38.819999699999997</v>
      </c>
      <c r="V1644" s="22">
        <v>37.990001700000001</v>
      </c>
      <c r="W1644" s="22">
        <v>38.169998200000002</v>
      </c>
      <c r="X1644" s="22">
        <v>32.733604399999997</v>
      </c>
      <c r="Y1644" s="22">
        <v>816700</v>
      </c>
      <c r="Z1644" s="22">
        <v>-7.5404000000000001E-3</v>
      </c>
    </row>
    <row r="1645" spans="19:26" ht="16" x14ac:dyDescent="0.2">
      <c r="S1645" s="23">
        <v>44519</v>
      </c>
      <c r="T1645" s="22">
        <v>38.180000300000003</v>
      </c>
      <c r="U1645" s="22">
        <v>38.700000799999998</v>
      </c>
      <c r="V1645" s="22">
        <v>38.080001799999998</v>
      </c>
      <c r="W1645" s="22">
        <v>38.659999800000001</v>
      </c>
      <c r="X1645" s="22">
        <v>33.1538124</v>
      </c>
      <c r="Y1645" s="22">
        <v>624800</v>
      </c>
      <c r="Z1645" s="22">
        <v>1.28372E-2</v>
      </c>
    </row>
    <row r="1646" spans="19:26" ht="16" x14ac:dyDescent="0.2">
      <c r="S1646" s="23">
        <v>44522</v>
      </c>
      <c r="T1646" s="22">
        <v>38.659999800000001</v>
      </c>
      <c r="U1646" s="22">
        <v>39.75</v>
      </c>
      <c r="V1646" s="22">
        <v>38.599998499999998</v>
      </c>
      <c r="W1646" s="22">
        <v>38.970001199999999</v>
      </c>
      <c r="X1646" s="22">
        <v>33.419666300000003</v>
      </c>
      <c r="Y1646" s="22">
        <v>856100</v>
      </c>
      <c r="Z1646" s="22">
        <v>8.0187999999999995E-3</v>
      </c>
    </row>
    <row r="1647" spans="19:26" ht="16" x14ac:dyDescent="0.2">
      <c r="S1647" s="23">
        <v>44523</v>
      </c>
      <c r="T1647" s="22">
        <v>39.090000199999999</v>
      </c>
      <c r="U1647" s="22">
        <v>39.270000500000002</v>
      </c>
      <c r="V1647" s="22">
        <v>38.430000300000003</v>
      </c>
      <c r="W1647" s="22">
        <v>39.180000300000003</v>
      </c>
      <c r="X1647" s="22">
        <v>33.599758100000003</v>
      </c>
      <c r="Y1647" s="22">
        <v>1281500</v>
      </c>
      <c r="Z1647" s="22">
        <v>5.3888E-3</v>
      </c>
    </row>
    <row r="1648" spans="19:26" ht="16" x14ac:dyDescent="0.2">
      <c r="S1648" s="23">
        <v>44524</v>
      </c>
      <c r="T1648" s="22">
        <v>39.110000599999999</v>
      </c>
      <c r="U1648" s="22">
        <v>39.450000799999998</v>
      </c>
      <c r="V1648" s="22">
        <v>38.639999400000001</v>
      </c>
      <c r="W1648" s="22">
        <v>39.069999699999997</v>
      </c>
      <c r="X1648" s="22">
        <v>33.505428299999998</v>
      </c>
      <c r="Y1648" s="22">
        <v>1147400</v>
      </c>
      <c r="Z1648" s="22">
        <v>-2.8075000000000001E-3</v>
      </c>
    </row>
    <row r="1649" spans="19:26" ht="16" x14ac:dyDescent="0.2">
      <c r="S1649" s="23">
        <v>44526</v>
      </c>
      <c r="T1649" s="22">
        <v>38.409999800000001</v>
      </c>
      <c r="U1649" s="22">
        <v>38.810001399999997</v>
      </c>
      <c r="V1649" s="22">
        <v>37.849998499999998</v>
      </c>
      <c r="W1649" s="22">
        <v>37.860000599999999</v>
      </c>
      <c r="X1649" s="22">
        <v>32.467758199999999</v>
      </c>
      <c r="Y1649" s="22">
        <v>452500</v>
      </c>
      <c r="Z1649" s="22">
        <v>-3.09702E-2</v>
      </c>
    </row>
    <row r="1650" spans="19:26" ht="16" x14ac:dyDescent="0.2">
      <c r="S1650" s="23">
        <v>44529</v>
      </c>
      <c r="T1650" s="22">
        <v>38.380001100000001</v>
      </c>
      <c r="U1650" s="22">
        <v>38.700000799999998</v>
      </c>
      <c r="V1650" s="22">
        <v>38</v>
      </c>
      <c r="W1650" s="22">
        <v>38.099998499999998</v>
      </c>
      <c r="X1650" s="22">
        <v>32.673580200000004</v>
      </c>
      <c r="Y1650" s="22">
        <v>619600</v>
      </c>
      <c r="Z1650" s="22">
        <v>6.3392700000000001E-3</v>
      </c>
    </row>
    <row r="1651" spans="19:26" ht="16" x14ac:dyDescent="0.2">
      <c r="S1651" s="23">
        <v>44530</v>
      </c>
      <c r="T1651" s="22">
        <v>37.430000300000003</v>
      </c>
      <c r="U1651" s="22">
        <v>37.919998200000002</v>
      </c>
      <c r="V1651" s="22">
        <v>37.279998800000001</v>
      </c>
      <c r="W1651" s="22">
        <v>37.319999699999997</v>
      </c>
      <c r="X1651" s="22">
        <v>32.292846699999998</v>
      </c>
      <c r="Y1651" s="22">
        <v>524900</v>
      </c>
      <c r="Z1651" s="22">
        <v>-1.1652600000000001E-2</v>
      </c>
    </row>
    <row r="1652" spans="19:26" ht="16" x14ac:dyDescent="0.2">
      <c r="S1652" s="23">
        <v>44531</v>
      </c>
      <c r="T1652" s="22">
        <v>37.990001700000001</v>
      </c>
      <c r="U1652" s="22">
        <v>38.529998800000001</v>
      </c>
      <c r="V1652" s="22">
        <v>37.099998499999998</v>
      </c>
      <c r="W1652" s="22">
        <v>37.110000599999999</v>
      </c>
      <c r="X1652" s="22">
        <v>32.111141199999999</v>
      </c>
      <c r="Y1652" s="22">
        <v>503800</v>
      </c>
      <c r="Z1652" s="22">
        <v>-5.6268000000000004E-3</v>
      </c>
    </row>
    <row r="1653" spans="19:26" ht="16" x14ac:dyDescent="0.2">
      <c r="S1653" s="23">
        <v>44532</v>
      </c>
      <c r="T1653" s="22">
        <v>37.150001500000002</v>
      </c>
      <c r="U1653" s="22">
        <v>37.639999400000001</v>
      </c>
      <c r="V1653" s="22">
        <v>36.790000900000003</v>
      </c>
      <c r="W1653" s="22">
        <v>37.200000799999998</v>
      </c>
      <c r="X1653" s="22">
        <v>32.189014399999998</v>
      </c>
      <c r="Y1653" s="22">
        <v>453900</v>
      </c>
      <c r="Z1653" s="22">
        <v>2.4251199999999998E-3</v>
      </c>
    </row>
    <row r="1654" spans="19:26" ht="16" x14ac:dyDescent="0.2">
      <c r="S1654" s="23">
        <v>44533</v>
      </c>
      <c r="T1654" s="22">
        <v>37.520000500000002</v>
      </c>
      <c r="U1654" s="22">
        <v>37.650001500000002</v>
      </c>
      <c r="V1654" s="22">
        <v>36.240001700000001</v>
      </c>
      <c r="W1654" s="22">
        <v>36.919998200000002</v>
      </c>
      <c r="X1654" s="22">
        <v>31.946729699999999</v>
      </c>
      <c r="Y1654" s="22">
        <v>408200</v>
      </c>
      <c r="Z1654" s="22">
        <v>-7.5269000000000004E-3</v>
      </c>
    </row>
    <row r="1655" spans="19:26" ht="16" x14ac:dyDescent="0.2">
      <c r="S1655" s="23">
        <v>44536</v>
      </c>
      <c r="T1655" s="22">
        <v>37.099998499999998</v>
      </c>
      <c r="U1655" s="22">
        <v>37.290000900000003</v>
      </c>
      <c r="V1655" s="22">
        <v>36.119998899999999</v>
      </c>
      <c r="W1655" s="22">
        <v>36.979999499999998</v>
      </c>
      <c r="X1655" s="22">
        <v>31.998647699999999</v>
      </c>
      <c r="Y1655" s="22">
        <v>472800</v>
      </c>
      <c r="Z1655" s="22">
        <v>1.62514E-3</v>
      </c>
    </row>
    <row r="1656" spans="19:26" ht="16" x14ac:dyDescent="0.2">
      <c r="S1656" s="23">
        <v>44537</v>
      </c>
      <c r="T1656" s="22">
        <v>37.409999800000001</v>
      </c>
      <c r="U1656" s="22">
        <v>37.849998499999998</v>
      </c>
      <c r="V1656" s="22">
        <v>37.180000300000003</v>
      </c>
      <c r="W1656" s="22">
        <v>37.470001199999999</v>
      </c>
      <c r="X1656" s="22">
        <v>32.422641800000001</v>
      </c>
      <c r="Y1656" s="22">
        <v>553800</v>
      </c>
      <c r="Z1656" s="22">
        <v>1.3250369999999999E-2</v>
      </c>
    </row>
    <row r="1657" spans="19:26" ht="16" x14ac:dyDescent="0.2">
      <c r="S1657" s="23">
        <v>44538</v>
      </c>
      <c r="T1657" s="22">
        <v>37.540000900000003</v>
      </c>
      <c r="U1657" s="22">
        <v>37.880001100000001</v>
      </c>
      <c r="V1657" s="22">
        <v>36.970001199999999</v>
      </c>
      <c r="W1657" s="22">
        <v>37.009998299999999</v>
      </c>
      <c r="X1657" s="22">
        <v>32.024604799999999</v>
      </c>
      <c r="Y1657" s="22">
        <v>661200</v>
      </c>
      <c r="Z1657" s="22">
        <v>-1.2276499999999999E-2</v>
      </c>
    </row>
    <row r="1658" spans="19:26" ht="16" x14ac:dyDescent="0.2">
      <c r="S1658" s="23">
        <v>44539</v>
      </c>
      <c r="T1658" s="22">
        <v>36.869998899999999</v>
      </c>
      <c r="U1658" s="22">
        <v>36.990001700000001</v>
      </c>
      <c r="V1658" s="22">
        <v>35.740001700000001</v>
      </c>
      <c r="W1658" s="22">
        <v>35.75</v>
      </c>
      <c r="X1658" s="22">
        <v>30.934333800000001</v>
      </c>
      <c r="Y1658" s="22">
        <v>573300</v>
      </c>
      <c r="Z1658" s="22">
        <v>-3.40448E-2</v>
      </c>
    </row>
    <row r="1659" spans="19:26" ht="16" x14ac:dyDescent="0.2">
      <c r="S1659" s="23">
        <v>44540</v>
      </c>
      <c r="T1659" s="22">
        <v>35.830001799999998</v>
      </c>
      <c r="U1659" s="22">
        <v>36.200000799999998</v>
      </c>
      <c r="V1659" s="22">
        <v>35.150001500000002</v>
      </c>
      <c r="W1659" s="22">
        <v>35.240001700000001</v>
      </c>
      <c r="X1659" s="22">
        <v>30.493028599999999</v>
      </c>
      <c r="Y1659" s="22">
        <v>516200</v>
      </c>
      <c r="Z1659" s="22">
        <v>-1.42659E-2</v>
      </c>
    </row>
    <row r="1660" spans="19:26" ht="16" x14ac:dyDescent="0.2">
      <c r="S1660" s="23">
        <v>44543</v>
      </c>
      <c r="T1660" s="22">
        <v>35.439998600000003</v>
      </c>
      <c r="U1660" s="22">
        <v>35.880001100000001</v>
      </c>
      <c r="V1660" s="22">
        <v>35.240001700000001</v>
      </c>
      <c r="W1660" s="22">
        <v>35.650001500000002</v>
      </c>
      <c r="X1660" s="22">
        <v>30.8477955</v>
      </c>
      <c r="Y1660" s="22">
        <v>566100</v>
      </c>
      <c r="Z1660" s="22">
        <v>1.163436E-2</v>
      </c>
    </row>
    <row r="1661" spans="19:26" ht="16" x14ac:dyDescent="0.2">
      <c r="S1661" s="23">
        <v>44544</v>
      </c>
      <c r="T1661" s="22">
        <v>35.509998299999999</v>
      </c>
      <c r="U1661" s="22">
        <v>35.639999400000001</v>
      </c>
      <c r="V1661" s="22">
        <v>34.630001100000001</v>
      </c>
      <c r="W1661" s="22">
        <v>34.889999400000001</v>
      </c>
      <c r="X1661" s="22">
        <v>30.190179799999999</v>
      </c>
      <c r="Y1661" s="22">
        <v>1046800</v>
      </c>
      <c r="Z1661" s="22">
        <v>-2.13181E-2</v>
      </c>
    </row>
    <row r="1662" spans="19:26" ht="16" x14ac:dyDescent="0.2">
      <c r="S1662" s="23">
        <v>44545</v>
      </c>
      <c r="T1662" s="22">
        <v>35.060001399999997</v>
      </c>
      <c r="U1662" s="22">
        <v>35.279998800000001</v>
      </c>
      <c r="V1662" s="22">
        <v>34.599998499999998</v>
      </c>
      <c r="W1662" s="22">
        <v>35.080001799999998</v>
      </c>
      <c r="X1662" s="22">
        <v>30.354583699999999</v>
      </c>
      <c r="Y1662" s="22">
        <v>919500</v>
      </c>
      <c r="Z1662" s="22">
        <v>5.44561E-3</v>
      </c>
    </row>
    <row r="1663" spans="19:26" ht="16" x14ac:dyDescent="0.2">
      <c r="S1663" s="23">
        <v>44546</v>
      </c>
      <c r="T1663" s="22">
        <v>35.340000199999999</v>
      </c>
      <c r="U1663" s="22">
        <v>36.049999200000002</v>
      </c>
      <c r="V1663" s="22">
        <v>35.25</v>
      </c>
      <c r="W1663" s="22">
        <v>35.459999099999997</v>
      </c>
      <c r="X1663" s="22">
        <v>30.683395399999998</v>
      </c>
      <c r="Y1663" s="22">
        <v>653700</v>
      </c>
      <c r="Z1663" s="22">
        <v>1.0832359999999999E-2</v>
      </c>
    </row>
    <row r="1664" spans="19:26" ht="16" x14ac:dyDescent="0.2">
      <c r="S1664" s="23">
        <v>44547</v>
      </c>
      <c r="T1664" s="22">
        <v>35.180000300000003</v>
      </c>
      <c r="U1664" s="22">
        <v>35.450000799999998</v>
      </c>
      <c r="V1664" s="22">
        <v>34.650001500000002</v>
      </c>
      <c r="W1664" s="22">
        <v>35.189998600000003</v>
      </c>
      <c r="X1664" s="22">
        <v>30.4497623</v>
      </c>
      <c r="Y1664" s="22">
        <v>1180600</v>
      </c>
      <c r="Z1664" s="22">
        <v>-7.6143000000000001E-3</v>
      </c>
    </row>
    <row r="1665" spans="19:26" ht="16" x14ac:dyDescent="0.2">
      <c r="S1665" s="23">
        <v>44550</v>
      </c>
      <c r="T1665" s="22">
        <v>34.919998200000002</v>
      </c>
      <c r="U1665" s="22">
        <v>34.919998200000002</v>
      </c>
      <c r="V1665" s="22">
        <v>33.599998499999998</v>
      </c>
      <c r="W1665" s="22">
        <v>34.150001500000002</v>
      </c>
      <c r="X1665" s="22">
        <v>29.5498619</v>
      </c>
      <c r="Y1665" s="22">
        <v>670600</v>
      </c>
      <c r="Z1665" s="22">
        <v>-2.9553599999999999E-2</v>
      </c>
    </row>
    <row r="1666" spans="19:26" ht="16" x14ac:dyDescent="0.2">
      <c r="S1666" s="23">
        <v>44551</v>
      </c>
      <c r="T1666" s="22">
        <v>34.529998800000001</v>
      </c>
      <c r="U1666" s="22">
        <v>35.299999200000002</v>
      </c>
      <c r="V1666" s="22">
        <v>34.529998800000001</v>
      </c>
      <c r="W1666" s="22">
        <v>35.259998299999999</v>
      </c>
      <c r="X1666" s="22">
        <v>30.510335900000001</v>
      </c>
      <c r="Y1666" s="22">
        <v>578900</v>
      </c>
      <c r="Z1666" s="22">
        <v>3.2503499999999998E-2</v>
      </c>
    </row>
    <row r="1667" spans="19:26" ht="16" x14ac:dyDescent="0.2">
      <c r="S1667" s="23">
        <v>44552</v>
      </c>
      <c r="T1667" s="22">
        <v>35.290000900000003</v>
      </c>
      <c r="U1667" s="22">
        <v>35.979999499999998</v>
      </c>
      <c r="V1667" s="22">
        <v>35.200000799999998</v>
      </c>
      <c r="W1667" s="22">
        <v>35.909999800000001</v>
      </c>
      <c r="X1667" s="22">
        <v>31.072778700000001</v>
      </c>
      <c r="Y1667" s="22">
        <v>435800</v>
      </c>
      <c r="Z1667" s="22">
        <v>1.8434499999999999E-2</v>
      </c>
    </row>
    <row r="1668" spans="19:26" ht="16" x14ac:dyDescent="0.2">
      <c r="S1668" s="23">
        <v>44553</v>
      </c>
      <c r="T1668" s="22">
        <v>36.080001799999998</v>
      </c>
      <c r="U1668" s="22">
        <v>36.080001799999998</v>
      </c>
      <c r="V1668" s="22">
        <v>35.619998899999999</v>
      </c>
      <c r="W1668" s="22">
        <v>35.790000900000003</v>
      </c>
      <c r="X1668" s="22">
        <v>30.968942599999998</v>
      </c>
      <c r="Y1668" s="22">
        <v>203800</v>
      </c>
      <c r="Z1668" s="22">
        <v>-3.3417E-3</v>
      </c>
    </row>
    <row r="1669" spans="19:26" ht="16" x14ac:dyDescent="0.2">
      <c r="S1669" s="23">
        <v>44557</v>
      </c>
      <c r="T1669" s="22">
        <v>36.009998299999999</v>
      </c>
      <c r="U1669" s="22">
        <v>36.009998299999999</v>
      </c>
      <c r="V1669" s="22">
        <v>35.560001399999997</v>
      </c>
      <c r="W1669" s="22">
        <v>35.810001399999997</v>
      </c>
      <c r="X1669" s="22">
        <v>30.986249900000001</v>
      </c>
      <c r="Y1669" s="22">
        <v>195200</v>
      </c>
      <c r="Z1669" s="22">
        <v>5.5886E-4</v>
      </c>
    </row>
    <row r="1670" spans="19:26" ht="16" x14ac:dyDescent="0.2">
      <c r="S1670" s="23">
        <v>44558</v>
      </c>
      <c r="T1670" s="22">
        <v>35.659999800000001</v>
      </c>
      <c r="U1670" s="22">
        <v>35.919998200000002</v>
      </c>
      <c r="V1670" s="22">
        <v>35.419998200000002</v>
      </c>
      <c r="W1670" s="22">
        <v>35.520000500000002</v>
      </c>
      <c r="X1670" s="22">
        <v>30.735313399999999</v>
      </c>
      <c r="Y1670" s="22">
        <v>296900</v>
      </c>
      <c r="Z1670" s="22">
        <v>-8.0982999999999992E-3</v>
      </c>
    </row>
    <row r="1671" spans="19:26" ht="16" x14ac:dyDescent="0.2">
      <c r="S1671" s="23">
        <v>44559</v>
      </c>
      <c r="T1671" s="22">
        <v>35.259998299999999</v>
      </c>
      <c r="U1671" s="22">
        <v>35.619998899999999</v>
      </c>
      <c r="V1671" s="22">
        <v>34.650001500000002</v>
      </c>
      <c r="W1671" s="22">
        <v>35.610000599999999</v>
      </c>
      <c r="X1671" s="22">
        <v>30.8131828</v>
      </c>
      <c r="Y1671" s="22">
        <v>315600</v>
      </c>
      <c r="Z1671" s="22">
        <v>2.5335499999999999E-3</v>
      </c>
    </row>
    <row r="1672" spans="19:26" ht="16" x14ac:dyDescent="0.2">
      <c r="S1672" s="23">
        <v>44560</v>
      </c>
      <c r="T1672" s="22">
        <v>35.759998299999999</v>
      </c>
      <c r="U1672" s="22">
        <v>36.150001500000002</v>
      </c>
      <c r="V1672" s="22">
        <v>35.669998200000002</v>
      </c>
      <c r="W1672" s="22">
        <v>35.709999099999997</v>
      </c>
      <c r="X1672" s="22">
        <v>30.899721100000001</v>
      </c>
      <c r="Y1672" s="22">
        <v>299900</v>
      </c>
      <c r="Z1672" s="22">
        <v>2.8084799999999999E-3</v>
      </c>
    </row>
    <row r="1673" spans="19:26" ht="16" x14ac:dyDescent="0.2">
      <c r="S1673" s="23">
        <v>44561</v>
      </c>
      <c r="T1673" s="22">
        <v>35.509998299999999</v>
      </c>
      <c r="U1673" s="22">
        <v>36.189998600000003</v>
      </c>
      <c r="V1673" s="22">
        <v>35.400001500000002</v>
      </c>
      <c r="W1673" s="22">
        <v>36.029998800000001</v>
      </c>
      <c r="X1673" s="22">
        <v>31.176612899999999</v>
      </c>
      <c r="Y1673" s="22">
        <v>283300</v>
      </c>
      <c r="Z1673" s="22">
        <v>8.9609800000000003E-3</v>
      </c>
    </row>
    <row r="1674" spans="19:26" ht="16" x14ac:dyDescent="0.2">
      <c r="S1674" s="23">
        <v>44564</v>
      </c>
      <c r="T1674" s="22">
        <v>36.270000500000002</v>
      </c>
      <c r="U1674" s="22">
        <v>36.580001799999998</v>
      </c>
      <c r="V1674" s="22">
        <v>35.279998800000001</v>
      </c>
      <c r="W1674" s="22">
        <v>35.959999099999997</v>
      </c>
      <c r="X1674" s="22">
        <v>31.116046900000001</v>
      </c>
      <c r="Y1674" s="22">
        <v>303100</v>
      </c>
      <c r="Z1674" s="22">
        <v>-1.9426999999999999E-3</v>
      </c>
    </row>
    <row r="1675" spans="19:26" ht="16" x14ac:dyDescent="0.2">
      <c r="S1675" s="23">
        <v>44565</v>
      </c>
      <c r="T1675" s="22">
        <v>35.860000599999999</v>
      </c>
      <c r="U1675" s="22">
        <v>36.319999699999997</v>
      </c>
      <c r="V1675" s="22">
        <v>35.340000199999999</v>
      </c>
      <c r="W1675" s="22">
        <v>35.389999400000001</v>
      </c>
      <c r="X1675" s="22">
        <v>30.622825599999999</v>
      </c>
      <c r="Y1675" s="22">
        <v>361600</v>
      </c>
      <c r="Z1675" s="22">
        <v>-1.5851000000000001E-2</v>
      </c>
    </row>
    <row r="1676" spans="19:26" ht="16" x14ac:dyDescent="0.2">
      <c r="S1676" s="23">
        <v>44566</v>
      </c>
      <c r="T1676" s="22">
        <v>35.310001399999997</v>
      </c>
      <c r="U1676" s="22">
        <v>35.659999800000001</v>
      </c>
      <c r="V1676" s="22">
        <v>33.930000300000003</v>
      </c>
      <c r="W1676" s="22">
        <v>33.970001199999999</v>
      </c>
      <c r="X1676" s="22">
        <v>29.394102100000001</v>
      </c>
      <c r="Y1676" s="22">
        <v>437800</v>
      </c>
      <c r="Z1676" s="22">
        <v>-4.0124399999999998E-2</v>
      </c>
    </row>
    <row r="1677" spans="19:26" ht="16" x14ac:dyDescent="0.2">
      <c r="S1677" s="23">
        <v>44567</v>
      </c>
      <c r="T1677" s="22">
        <v>33.75</v>
      </c>
      <c r="U1677" s="22">
        <v>34.689998600000003</v>
      </c>
      <c r="V1677" s="22">
        <v>33.700000799999998</v>
      </c>
      <c r="W1677" s="22">
        <v>34.159999800000001</v>
      </c>
      <c r="X1677" s="22">
        <v>29.5585098</v>
      </c>
      <c r="Y1677" s="22">
        <v>576100</v>
      </c>
      <c r="Z1677" s="22">
        <v>5.5932200000000003E-3</v>
      </c>
    </row>
    <row r="1678" spans="19:26" ht="16" x14ac:dyDescent="0.2">
      <c r="S1678" s="23">
        <v>44568</v>
      </c>
      <c r="T1678" s="22">
        <v>34.130001100000001</v>
      </c>
      <c r="U1678" s="22">
        <v>34.450000799999998</v>
      </c>
      <c r="V1678" s="22">
        <v>33.849998499999998</v>
      </c>
      <c r="W1678" s="22">
        <v>33.860000599999999</v>
      </c>
      <c r="X1678" s="22">
        <v>29.298925400000002</v>
      </c>
      <c r="Y1678" s="22">
        <v>381700</v>
      </c>
      <c r="Z1678" s="22">
        <v>-8.7820999999999993E-3</v>
      </c>
    </row>
    <row r="1679" spans="19:26" ht="16" x14ac:dyDescent="0.2">
      <c r="S1679" s="23">
        <v>44571</v>
      </c>
      <c r="T1679" s="22">
        <v>33.689998600000003</v>
      </c>
      <c r="U1679" s="22">
        <v>33.75</v>
      </c>
      <c r="V1679" s="22">
        <v>32.689998600000003</v>
      </c>
      <c r="W1679" s="22">
        <v>33.150001500000002</v>
      </c>
      <c r="X1679" s="22">
        <v>28.684564600000002</v>
      </c>
      <c r="Y1679" s="22">
        <v>542800</v>
      </c>
      <c r="Z1679" s="22">
        <v>-2.09687E-2</v>
      </c>
    </row>
    <row r="1680" spans="19:26" ht="16" x14ac:dyDescent="0.2">
      <c r="S1680" s="23">
        <v>44572</v>
      </c>
      <c r="T1680" s="22">
        <v>33.209999099999997</v>
      </c>
      <c r="U1680" s="22">
        <v>33.709999099999997</v>
      </c>
      <c r="V1680" s="22">
        <v>33</v>
      </c>
      <c r="W1680" s="22">
        <v>33.610000599999999</v>
      </c>
      <c r="X1680" s="22">
        <v>29.082599600000002</v>
      </c>
      <c r="Y1680" s="22">
        <v>384800</v>
      </c>
      <c r="Z1680" s="22">
        <v>1.387628E-2</v>
      </c>
    </row>
    <row r="1681" spans="19:26" ht="16" x14ac:dyDescent="0.2">
      <c r="S1681" s="23">
        <v>44573</v>
      </c>
      <c r="T1681" s="22">
        <v>33.790000900000003</v>
      </c>
      <c r="U1681" s="22">
        <v>34.009998299999999</v>
      </c>
      <c r="V1681" s="22">
        <v>33.180000300000003</v>
      </c>
      <c r="W1681" s="22">
        <v>33.419998200000002</v>
      </c>
      <c r="X1681" s="22">
        <v>28.9181919</v>
      </c>
      <c r="Y1681" s="22">
        <v>294400</v>
      </c>
      <c r="Z1681" s="22">
        <v>-5.6531000000000003E-3</v>
      </c>
    </row>
    <row r="1682" spans="19:26" ht="16" x14ac:dyDescent="0.2">
      <c r="S1682" s="23">
        <v>44574</v>
      </c>
      <c r="T1682" s="22">
        <v>33.330001799999998</v>
      </c>
      <c r="U1682" s="22">
        <v>33.509998299999999</v>
      </c>
      <c r="V1682" s="22">
        <v>32.939998600000003</v>
      </c>
      <c r="W1682" s="22">
        <v>33</v>
      </c>
      <c r="X1682" s="22">
        <v>28.554775200000002</v>
      </c>
      <c r="Y1682" s="22">
        <v>490500</v>
      </c>
      <c r="Z1682" s="22">
        <v>-1.2567099999999999E-2</v>
      </c>
    </row>
    <row r="1683" spans="19:26" ht="16" x14ac:dyDescent="0.2">
      <c r="S1683" s="23">
        <v>44575</v>
      </c>
      <c r="T1683" s="22">
        <v>32.970001199999999</v>
      </c>
      <c r="U1683" s="22">
        <v>33.150001500000002</v>
      </c>
      <c r="V1683" s="22">
        <v>32.569999699999997</v>
      </c>
      <c r="W1683" s="22">
        <v>32.959999099999997</v>
      </c>
      <c r="X1683" s="22">
        <v>28.520154999999999</v>
      </c>
      <c r="Y1683" s="22">
        <v>607200</v>
      </c>
      <c r="Z1683" s="22">
        <v>-1.2124E-3</v>
      </c>
    </row>
    <row r="1684" spans="19:26" ht="16" x14ac:dyDescent="0.2">
      <c r="S1684" s="23">
        <v>44579</v>
      </c>
      <c r="T1684" s="22">
        <v>32.5</v>
      </c>
      <c r="U1684" s="22">
        <v>33.080001799999998</v>
      </c>
      <c r="V1684" s="22">
        <v>32.380001100000001</v>
      </c>
      <c r="W1684" s="22">
        <v>32.669998200000002</v>
      </c>
      <c r="X1684" s="22">
        <v>28.269222299999999</v>
      </c>
      <c r="Y1684" s="22">
        <v>528000</v>
      </c>
      <c r="Z1684" s="22">
        <v>-8.7983999999999996E-3</v>
      </c>
    </row>
    <row r="1685" spans="19:26" ht="16" x14ac:dyDescent="0.2">
      <c r="S1685" s="23">
        <v>44580</v>
      </c>
      <c r="T1685" s="22">
        <v>32.930000300000003</v>
      </c>
      <c r="U1685" s="22">
        <v>33.849998499999998</v>
      </c>
      <c r="V1685" s="22">
        <v>32.849998499999998</v>
      </c>
      <c r="W1685" s="22">
        <v>33.599998499999998</v>
      </c>
      <c r="X1685" s="22">
        <v>29.073945999999999</v>
      </c>
      <c r="Y1685" s="22">
        <v>727600</v>
      </c>
      <c r="Z1685" s="22">
        <v>2.8466430000000001E-2</v>
      </c>
    </row>
    <row r="1686" spans="19:26" ht="16" x14ac:dyDescent="0.2">
      <c r="S1686" s="23">
        <v>44581</v>
      </c>
      <c r="T1686" s="22">
        <v>33.709999099999997</v>
      </c>
      <c r="U1686" s="22">
        <v>34.459999099999997</v>
      </c>
      <c r="V1686" s="22">
        <v>33.259998299999999</v>
      </c>
      <c r="W1686" s="22">
        <v>33.380001100000001</v>
      </c>
      <c r="X1686" s="22">
        <v>28.883579300000001</v>
      </c>
      <c r="Y1686" s="22">
        <v>755900</v>
      </c>
      <c r="Z1686" s="22">
        <v>-6.5477E-3</v>
      </c>
    </row>
    <row r="1687" spans="19:26" ht="16" x14ac:dyDescent="0.2">
      <c r="S1687" s="23">
        <v>44582</v>
      </c>
      <c r="T1687" s="22">
        <v>33.310001399999997</v>
      </c>
      <c r="U1687" s="22">
        <v>34.029998800000001</v>
      </c>
      <c r="V1687" s="22">
        <v>32.849998499999998</v>
      </c>
      <c r="W1687" s="22">
        <v>32.889999400000001</v>
      </c>
      <c r="X1687" s="22">
        <v>28.459583299999998</v>
      </c>
      <c r="Y1687" s="22">
        <v>814900</v>
      </c>
      <c r="Z1687" s="22">
        <v>-1.46795E-2</v>
      </c>
    </row>
    <row r="1688" spans="19:26" ht="16" x14ac:dyDescent="0.2">
      <c r="S1688" s="23">
        <v>44585</v>
      </c>
      <c r="T1688" s="22">
        <v>32.319999699999997</v>
      </c>
      <c r="U1688" s="22">
        <v>33.330001799999998</v>
      </c>
      <c r="V1688" s="22">
        <v>31.860000599999999</v>
      </c>
      <c r="W1688" s="22">
        <v>33.200000799999998</v>
      </c>
      <c r="X1688" s="22">
        <v>28.727827099999999</v>
      </c>
      <c r="Y1688" s="22">
        <v>958400</v>
      </c>
      <c r="Z1688" s="22">
        <v>9.4254300000000003E-3</v>
      </c>
    </row>
    <row r="1689" spans="19:26" ht="16" x14ac:dyDescent="0.2">
      <c r="S1689" s="23">
        <v>44586</v>
      </c>
      <c r="T1689" s="22">
        <v>32.669998200000002</v>
      </c>
      <c r="U1689" s="22">
        <v>33.599998499999998</v>
      </c>
      <c r="V1689" s="22">
        <v>32.669998200000002</v>
      </c>
      <c r="W1689" s="22">
        <v>33.060001399999997</v>
      </c>
      <c r="X1689" s="22">
        <v>28.606685599999999</v>
      </c>
      <c r="Y1689" s="22">
        <v>614600</v>
      </c>
      <c r="Z1689" s="22">
        <v>-4.2169E-3</v>
      </c>
    </row>
    <row r="1690" spans="19:26" ht="16" x14ac:dyDescent="0.2">
      <c r="S1690" s="23">
        <v>44587</v>
      </c>
      <c r="T1690" s="22">
        <v>33.590000199999999</v>
      </c>
      <c r="U1690" s="22">
        <v>33.889999400000001</v>
      </c>
      <c r="V1690" s="22">
        <v>32.919998200000002</v>
      </c>
      <c r="W1690" s="22">
        <v>33.180000300000003</v>
      </c>
      <c r="X1690" s="22">
        <v>28.710525499999999</v>
      </c>
      <c r="Y1690" s="22">
        <v>605100</v>
      </c>
      <c r="Z1690" s="22">
        <v>3.62992E-3</v>
      </c>
    </row>
    <row r="1691" spans="19:26" ht="16" x14ac:dyDescent="0.2">
      <c r="S1691" s="23">
        <v>44588</v>
      </c>
      <c r="T1691" s="22">
        <v>33.529998800000001</v>
      </c>
      <c r="U1691" s="22">
        <v>33.720001199999999</v>
      </c>
      <c r="V1691" s="22">
        <v>32.490001700000001</v>
      </c>
      <c r="W1691" s="22">
        <v>32.580001799999998</v>
      </c>
      <c r="X1691" s="22">
        <v>28.191345200000001</v>
      </c>
      <c r="Y1691" s="22">
        <v>354000</v>
      </c>
      <c r="Z1691" s="22">
        <v>-1.80833E-2</v>
      </c>
    </row>
    <row r="1692" spans="19:26" ht="16" x14ac:dyDescent="0.2">
      <c r="S1692" s="23">
        <v>44589</v>
      </c>
      <c r="T1692" s="22">
        <v>32.590000199999999</v>
      </c>
      <c r="U1692" s="22">
        <v>32.900001500000002</v>
      </c>
      <c r="V1692" s="22">
        <v>32.020000500000002</v>
      </c>
      <c r="W1692" s="22">
        <v>32.900001500000002</v>
      </c>
      <c r="X1692" s="22">
        <v>28.4682426</v>
      </c>
      <c r="Y1692" s="22">
        <v>397800</v>
      </c>
      <c r="Z1692" s="22">
        <v>9.8220700000000005E-3</v>
      </c>
    </row>
    <row r="1693" spans="19:26" ht="16" x14ac:dyDescent="0.2">
      <c r="S1693" s="23">
        <v>44592</v>
      </c>
      <c r="T1693" s="22">
        <v>32.919998200000002</v>
      </c>
      <c r="U1693" s="22">
        <v>33.680000300000003</v>
      </c>
      <c r="V1693" s="22">
        <v>32.919998200000002</v>
      </c>
      <c r="W1693" s="22">
        <v>33.680000300000003</v>
      </c>
      <c r="X1693" s="22">
        <v>29.143169400000001</v>
      </c>
      <c r="Y1693" s="22">
        <v>515000</v>
      </c>
      <c r="Z1693" s="22">
        <v>2.370806E-2</v>
      </c>
    </row>
    <row r="1694" spans="19:26" ht="16" x14ac:dyDescent="0.2">
      <c r="S1694" s="23">
        <v>44593</v>
      </c>
      <c r="T1694" s="22">
        <v>33.75</v>
      </c>
      <c r="U1694" s="22">
        <v>33.75</v>
      </c>
      <c r="V1694" s="22">
        <v>32.830001799999998</v>
      </c>
      <c r="W1694" s="22">
        <v>33.049999200000002</v>
      </c>
      <c r="X1694" s="22">
        <v>28.598032</v>
      </c>
      <c r="Y1694" s="22">
        <v>554200</v>
      </c>
      <c r="Z1694" s="22">
        <v>-1.87055E-2</v>
      </c>
    </row>
    <row r="1695" spans="19:26" ht="16" x14ac:dyDescent="0.2">
      <c r="S1695" s="23">
        <v>44594</v>
      </c>
      <c r="T1695" s="22">
        <v>33.310001399999997</v>
      </c>
      <c r="U1695" s="22">
        <v>33.360000599999999</v>
      </c>
      <c r="V1695" s="22">
        <v>32.860000599999999</v>
      </c>
      <c r="W1695" s="22">
        <v>33.139999400000001</v>
      </c>
      <c r="X1695" s="22">
        <v>28.6759129</v>
      </c>
      <c r="Y1695" s="22">
        <v>336200</v>
      </c>
      <c r="Z1695" s="22">
        <v>2.7232900000000002E-3</v>
      </c>
    </row>
    <row r="1696" spans="19:26" ht="16" x14ac:dyDescent="0.2">
      <c r="S1696" s="23">
        <v>44595</v>
      </c>
      <c r="T1696" s="22">
        <v>32.689998600000003</v>
      </c>
      <c r="U1696" s="22">
        <v>33.060001399999997</v>
      </c>
      <c r="V1696" s="22">
        <v>32.049999200000002</v>
      </c>
      <c r="W1696" s="22">
        <v>32.189998600000003</v>
      </c>
      <c r="X1696" s="22">
        <v>27.853872299999999</v>
      </c>
      <c r="Y1696" s="22">
        <v>430600</v>
      </c>
      <c r="Z1696" s="22">
        <v>-2.86666E-2</v>
      </c>
    </row>
    <row r="1697" spans="19:26" ht="16" x14ac:dyDescent="0.2">
      <c r="S1697" s="23">
        <v>44596</v>
      </c>
      <c r="T1697" s="22">
        <v>32.069999699999997</v>
      </c>
      <c r="U1697" s="22">
        <v>32.479999499999998</v>
      </c>
      <c r="V1697" s="22">
        <v>31.520000499999998</v>
      </c>
      <c r="W1697" s="22">
        <v>32.200000799999998</v>
      </c>
      <c r="X1697" s="22">
        <v>27.862531700000002</v>
      </c>
      <c r="Y1697" s="22">
        <v>310000</v>
      </c>
      <c r="Z1697" s="22">
        <v>3.1089000000000003E-4</v>
      </c>
    </row>
    <row r="1698" spans="19:26" ht="16" x14ac:dyDescent="0.2">
      <c r="S1698" s="23">
        <v>44599</v>
      </c>
      <c r="T1698" s="22">
        <v>32.240001700000001</v>
      </c>
      <c r="U1698" s="22">
        <v>32.669998200000002</v>
      </c>
      <c r="V1698" s="22">
        <v>32.009998299999999</v>
      </c>
      <c r="W1698" s="22">
        <v>32.459999099999997</v>
      </c>
      <c r="X1698" s="22">
        <v>28.0875092</v>
      </c>
      <c r="Y1698" s="22">
        <v>302000</v>
      </c>
      <c r="Z1698" s="22">
        <v>8.0745499999999998E-3</v>
      </c>
    </row>
    <row r="1699" spans="19:26" ht="16" x14ac:dyDescent="0.2">
      <c r="S1699" s="23">
        <v>44600</v>
      </c>
      <c r="T1699" s="22">
        <v>32.450000799999998</v>
      </c>
      <c r="U1699" s="22">
        <v>32.930000300000003</v>
      </c>
      <c r="V1699" s="22">
        <v>32.270000500000002</v>
      </c>
      <c r="W1699" s="22">
        <v>32.610000599999999</v>
      </c>
      <c r="X1699" s="22">
        <v>28.2173023</v>
      </c>
      <c r="Y1699" s="22">
        <v>306800</v>
      </c>
      <c r="Z1699" s="22">
        <v>4.6210299999999999E-3</v>
      </c>
    </row>
    <row r="1700" spans="19:26" ht="16" x14ac:dyDescent="0.2">
      <c r="S1700" s="23">
        <v>44601</v>
      </c>
      <c r="T1700" s="22">
        <v>32.919998200000002</v>
      </c>
      <c r="U1700" s="22">
        <v>33.360000599999999</v>
      </c>
      <c r="V1700" s="22">
        <v>32.650001500000002</v>
      </c>
      <c r="W1700" s="22">
        <v>33.360000599999999</v>
      </c>
      <c r="X1700" s="22">
        <v>28.8662758</v>
      </c>
      <c r="Y1700" s="22">
        <v>426400</v>
      </c>
      <c r="Z1700" s="22">
        <v>2.299913E-2</v>
      </c>
    </row>
    <row r="1701" spans="19:26" ht="16" x14ac:dyDescent="0.2">
      <c r="S1701" s="23">
        <v>44602</v>
      </c>
      <c r="T1701" s="22">
        <v>32.799999200000002</v>
      </c>
      <c r="U1701" s="22">
        <v>33.419998200000002</v>
      </c>
      <c r="V1701" s="22">
        <v>32.509998299999999</v>
      </c>
      <c r="W1701" s="22">
        <v>32.700000799999998</v>
      </c>
      <c r="X1701" s="22">
        <v>28.2951832</v>
      </c>
      <c r="Y1701" s="22">
        <v>387000</v>
      </c>
      <c r="Z1701" s="22">
        <v>-1.9784099999999999E-2</v>
      </c>
    </row>
    <row r="1702" spans="19:26" ht="16" x14ac:dyDescent="0.2">
      <c r="S1702" s="23">
        <v>44603</v>
      </c>
      <c r="T1702" s="22">
        <v>32.770000500000002</v>
      </c>
      <c r="U1702" s="22">
        <v>33.069999699999997</v>
      </c>
      <c r="V1702" s="22">
        <v>32.090000199999999</v>
      </c>
      <c r="W1702" s="22">
        <v>32.349998499999998</v>
      </c>
      <c r="X1702" s="22">
        <v>27.992324799999999</v>
      </c>
      <c r="Y1702" s="22">
        <v>353900</v>
      </c>
      <c r="Z1702" s="22">
        <v>-1.0703499999999999E-2</v>
      </c>
    </row>
    <row r="1703" spans="19:26" ht="16" x14ac:dyDescent="0.2">
      <c r="S1703" s="23">
        <v>44606</v>
      </c>
      <c r="T1703" s="22">
        <v>32.419998200000002</v>
      </c>
      <c r="U1703" s="22">
        <v>32.770000500000002</v>
      </c>
      <c r="V1703" s="22">
        <v>32.049999200000002</v>
      </c>
      <c r="W1703" s="22">
        <v>32.560001399999997</v>
      </c>
      <c r="X1703" s="22">
        <v>28.174037899999998</v>
      </c>
      <c r="Y1703" s="22">
        <v>420700</v>
      </c>
      <c r="Z1703" s="22">
        <v>6.4915299999999997E-3</v>
      </c>
    </row>
    <row r="1704" spans="19:26" ht="16" x14ac:dyDescent="0.2">
      <c r="S1704" s="23">
        <v>44607</v>
      </c>
      <c r="T1704" s="22">
        <v>32.880001100000001</v>
      </c>
      <c r="U1704" s="22">
        <v>33.200000799999998</v>
      </c>
      <c r="V1704" s="22">
        <v>32.630001100000001</v>
      </c>
      <c r="W1704" s="22">
        <v>32.729999499999998</v>
      </c>
      <c r="X1704" s="22">
        <v>28.321136500000001</v>
      </c>
      <c r="Y1704" s="22">
        <v>384900</v>
      </c>
      <c r="Z1704" s="22">
        <v>5.2210700000000004E-3</v>
      </c>
    </row>
    <row r="1705" spans="19:26" ht="16" x14ac:dyDescent="0.2">
      <c r="S1705" s="23">
        <v>44608</v>
      </c>
      <c r="T1705" s="22">
        <v>32.610000599999999</v>
      </c>
      <c r="U1705" s="22">
        <v>33.060001399999997</v>
      </c>
      <c r="V1705" s="22">
        <v>32.439998600000003</v>
      </c>
      <c r="W1705" s="22">
        <v>32.869998899999999</v>
      </c>
      <c r="X1705" s="22">
        <v>28.442279800000001</v>
      </c>
      <c r="Y1705" s="22">
        <v>260800</v>
      </c>
      <c r="Z1705" s="22">
        <v>4.2774900000000001E-3</v>
      </c>
    </row>
    <row r="1706" spans="19:26" ht="16" x14ac:dyDescent="0.2">
      <c r="S1706" s="23">
        <v>44609</v>
      </c>
      <c r="T1706" s="22">
        <v>32.610000599999999</v>
      </c>
      <c r="U1706" s="22">
        <v>32.650001500000002</v>
      </c>
      <c r="V1706" s="22">
        <v>32.040000900000003</v>
      </c>
      <c r="W1706" s="22">
        <v>32.169998200000002</v>
      </c>
      <c r="X1706" s="22">
        <v>27.836566900000001</v>
      </c>
      <c r="Y1706" s="22">
        <v>525300</v>
      </c>
      <c r="Z1706" s="22">
        <v>-2.1296200000000001E-2</v>
      </c>
    </row>
    <row r="1707" spans="19:26" ht="16" x14ac:dyDescent="0.2">
      <c r="S1707" s="23">
        <v>44610</v>
      </c>
      <c r="T1707" s="22">
        <v>32.090000199999999</v>
      </c>
      <c r="U1707" s="22">
        <v>33.110000599999999</v>
      </c>
      <c r="V1707" s="22">
        <v>31.829999900000001</v>
      </c>
      <c r="W1707" s="22">
        <v>32.979999499999998</v>
      </c>
      <c r="X1707" s="22">
        <v>28.5374622</v>
      </c>
      <c r="Y1707" s="22">
        <v>398300</v>
      </c>
      <c r="Z1707" s="22">
        <v>2.517894E-2</v>
      </c>
    </row>
    <row r="1708" spans="19:26" ht="16" x14ac:dyDescent="0.2">
      <c r="S1708" s="23">
        <v>44614</v>
      </c>
      <c r="T1708" s="22">
        <v>32.979999499999998</v>
      </c>
      <c r="U1708" s="22">
        <v>32.979999499999998</v>
      </c>
      <c r="V1708" s="22">
        <v>31.5</v>
      </c>
      <c r="W1708" s="22">
        <v>31.860000599999999</v>
      </c>
      <c r="X1708" s="22">
        <v>27.568332699999999</v>
      </c>
      <c r="Y1708" s="22">
        <v>761400</v>
      </c>
      <c r="Z1708" s="22">
        <v>-3.3959900000000001E-2</v>
      </c>
    </row>
    <row r="1709" spans="19:26" ht="16" x14ac:dyDescent="0.2">
      <c r="S1709" s="23">
        <v>44615</v>
      </c>
      <c r="T1709" s="22">
        <v>32</v>
      </c>
      <c r="U1709" s="22">
        <v>32.450000799999998</v>
      </c>
      <c r="V1709" s="22">
        <v>31.649999600000001</v>
      </c>
      <c r="W1709" s="22">
        <v>31.719999300000001</v>
      </c>
      <c r="X1709" s="22">
        <v>27.447187400000001</v>
      </c>
      <c r="Y1709" s="22">
        <v>517700</v>
      </c>
      <c r="Z1709" s="22">
        <v>-4.3943999999999997E-3</v>
      </c>
    </row>
    <row r="1710" spans="19:26" ht="16" x14ac:dyDescent="0.2">
      <c r="S1710" s="23">
        <v>44616</v>
      </c>
      <c r="T1710" s="22">
        <v>31.040000899999999</v>
      </c>
      <c r="U1710" s="22">
        <v>32.009998299999999</v>
      </c>
      <c r="V1710" s="22">
        <v>31.040000899999999</v>
      </c>
      <c r="W1710" s="22">
        <v>31.8799992</v>
      </c>
      <c r="X1710" s="22">
        <v>27.585636099999999</v>
      </c>
      <c r="Y1710" s="22">
        <v>908900</v>
      </c>
      <c r="Z1710" s="22">
        <v>5.0441899999999996E-3</v>
      </c>
    </row>
    <row r="1711" spans="19:26" ht="16" x14ac:dyDescent="0.2">
      <c r="S1711" s="23">
        <v>44617</v>
      </c>
      <c r="T1711" s="22">
        <v>31.979999500000002</v>
      </c>
      <c r="U1711" s="22">
        <v>33.139999400000001</v>
      </c>
      <c r="V1711" s="22">
        <v>31.920000099999999</v>
      </c>
      <c r="W1711" s="22">
        <v>32.919998200000002</v>
      </c>
      <c r="X1711" s="22">
        <v>28.4855442</v>
      </c>
      <c r="Y1711" s="22">
        <v>743700</v>
      </c>
      <c r="Z1711" s="22">
        <v>3.262234E-2</v>
      </c>
    </row>
    <row r="1712" spans="19:26" ht="16" x14ac:dyDescent="0.2">
      <c r="S1712" s="23">
        <v>44620</v>
      </c>
      <c r="T1712" s="22">
        <v>34.060001399999997</v>
      </c>
      <c r="U1712" s="22">
        <v>34.330001799999998</v>
      </c>
      <c r="V1712" s="22">
        <v>31.649999600000001</v>
      </c>
      <c r="W1712" s="22">
        <v>33.400001500000002</v>
      </c>
      <c r="X1712" s="22">
        <v>29.2087708</v>
      </c>
      <c r="Y1712" s="22">
        <v>1155500</v>
      </c>
      <c r="Z1712" s="22">
        <v>2.5389249999999999E-2</v>
      </c>
    </row>
    <row r="1713" spans="19:26" ht="16" x14ac:dyDescent="0.2">
      <c r="S1713" s="23">
        <v>44621</v>
      </c>
      <c r="T1713" s="22">
        <v>33.080001799999998</v>
      </c>
      <c r="U1713" s="22">
        <v>33.299999200000002</v>
      </c>
      <c r="V1713" s="22">
        <v>32.169998200000002</v>
      </c>
      <c r="W1713" s="22">
        <v>32.610000599999999</v>
      </c>
      <c r="X1713" s="22">
        <v>28.5179005</v>
      </c>
      <c r="Y1713" s="22">
        <v>636900</v>
      </c>
      <c r="Z1713" s="22">
        <v>-2.3652800000000002E-2</v>
      </c>
    </row>
    <row r="1714" spans="19:26" ht="16" x14ac:dyDescent="0.2">
      <c r="S1714" s="23">
        <v>44622</v>
      </c>
      <c r="T1714" s="22">
        <v>32.599998499999998</v>
      </c>
      <c r="U1714" s="22">
        <v>34.139999400000001</v>
      </c>
      <c r="V1714" s="22">
        <v>32.549999200000002</v>
      </c>
      <c r="W1714" s="22">
        <v>34.029998800000001</v>
      </c>
      <c r="X1714" s="22">
        <v>29.759712199999999</v>
      </c>
      <c r="Y1714" s="22">
        <v>933000</v>
      </c>
      <c r="Z1714" s="22">
        <v>4.3544989999999999E-2</v>
      </c>
    </row>
    <row r="1715" spans="19:26" ht="16" x14ac:dyDescent="0.2">
      <c r="S1715" s="23">
        <v>44623</v>
      </c>
      <c r="T1715" s="22">
        <v>34.270000500000002</v>
      </c>
      <c r="U1715" s="22">
        <v>34.319999699999997</v>
      </c>
      <c r="V1715" s="22">
        <v>33.200000799999998</v>
      </c>
      <c r="W1715" s="22">
        <v>33.770000500000002</v>
      </c>
      <c r="X1715" s="22">
        <v>29.532337200000001</v>
      </c>
      <c r="Y1715" s="22">
        <v>674900</v>
      </c>
      <c r="Z1715" s="22">
        <v>-7.6404000000000003E-3</v>
      </c>
    </row>
    <row r="1716" spans="19:26" ht="16" x14ac:dyDescent="0.2">
      <c r="S1716" s="23">
        <v>44624</v>
      </c>
      <c r="T1716" s="22">
        <v>33.680000300000003</v>
      </c>
      <c r="U1716" s="22">
        <v>33.900001500000002</v>
      </c>
      <c r="V1716" s="22">
        <v>33.229999499999998</v>
      </c>
      <c r="W1716" s="22">
        <v>33.560001399999997</v>
      </c>
      <c r="X1716" s="22">
        <v>29.348691899999999</v>
      </c>
      <c r="Y1716" s="22">
        <v>588600</v>
      </c>
      <c r="Z1716" s="22">
        <v>-6.2183999999999998E-3</v>
      </c>
    </row>
    <row r="1717" spans="19:26" ht="16" x14ac:dyDescent="0.2">
      <c r="S1717" s="23">
        <v>44627</v>
      </c>
      <c r="T1717" s="22">
        <v>33.819999699999997</v>
      </c>
      <c r="U1717" s="22">
        <v>34.040000900000003</v>
      </c>
      <c r="V1717" s="22">
        <v>33.380001100000001</v>
      </c>
      <c r="W1717" s="22">
        <v>33.990001700000001</v>
      </c>
      <c r="X1717" s="22">
        <v>29.724735299999999</v>
      </c>
      <c r="Y1717" s="22">
        <v>786700</v>
      </c>
      <c r="Z1717" s="22">
        <v>1.281295E-2</v>
      </c>
    </row>
    <row r="1718" spans="19:26" ht="16" x14ac:dyDescent="0.2">
      <c r="S1718" s="23">
        <v>44628</v>
      </c>
      <c r="T1718" s="22">
        <v>34.330001799999998</v>
      </c>
      <c r="U1718" s="22">
        <v>36.189998600000003</v>
      </c>
      <c r="V1718" s="22">
        <v>34.220001199999999</v>
      </c>
      <c r="W1718" s="22">
        <v>35.340000199999999</v>
      </c>
      <c r="X1718" s="22">
        <v>30.905321099999998</v>
      </c>
      <c r="Y1718" s="22">
        <v>790700</v>
      </c>
      <c r="Z1718" s="22">
        <v>3.9717290000000002E-2</v>
      </c>
    </row>
    <row r="1719" spans="19:26" ht="16" x14ac:dyDescent="0.2">
      <c r="S1719" s="23">
        <v>44629</v>
      </c>
      <c r="T1719" s="22">
        <v>35.919998200000002</v>
      </c>
      <c r="U1719" s="22">
        <v>36.479999499999998</v>
      </c>
      <c r="V1719" s="22">
        <v>35.790000900000003</v>
      </c>
      <c r="W1719" s="22">
        <v>36.110000599999999</v>
      </c>
      <c r="X1719" s="22">
        <v>31.578704800000001</v>
      </c>
      <c r="Y1719" s="22">
        <v>723300</v>
      </c>
      <c r="Z1719" s="22">
        <v>2.1788600000000002E-2</v>
      </c>
    </row>
    <row r="1720" spans="19:26" ht="16" x14ac:dyDescent="0.2">
      <c r="S1720" s="23">
        <v>44630</v>
      </c>
      <c r="T1720" s="22">
        <v>35.770000500000002</v>
      </c>
      <c r="U1720" s="22">
        <v>36.290000900000003</v>
      </c>
      <c r="V1720" s="22">
        <v>35.529998800000001</v>
      </c>
      <c r="W1720" s="22">
        <v>36.040000900000003</v>
      </c>
      <c r="X1720" s="22">
        <v>31.517486600000002</v>
      </c>
      <c r="Y1720" s="22">
        <v>505100</v>
      </c>
      <c r="Z1720" s="22">
        <v>-1.9386E-3</v>
      </c>
    </row>
    <row r="1721" spans="19:26" ht="16" x14ac:dyDescent="0.2">
      <c r="S1721" s="23">
        <v>44631</v>
      </c>
      <c r="T1721" s="22">
        <v>36.080001799999998</v>
      </c>
      <c r="U1721" s="22">
        <v>36.439998600000003</v>
      </c>
      <c r="V1721" s="22">
        <v>35.709999099999997</v>
      </c>
      <c r="W1721" s="22">
        <v>35.799999200000002</v>
      </c>
      <c r="X1721" s="22">
        <v>31.307600000000001</v>
      </c>
      <c r="Y1721" s="22">
        <v>457800</v>
      </c>
      <c r="Z1721" s="22">
        <v>-6.6594000000000002E-3</v>
      </c>
    </row>
    <row r="1722" spans="19:26" ht="16" x14ac:dyDescent="0.2">
      <c r="S1722" s="23">
        <v>44634</v>
      </c>
      <c r="T1722" s="22">
        <v>35.990001700000001</v>
      </c>
      <c r="U1722" s="22">
        <v>36.330001799999998</v>
      </c>
      <c r="V1722" s="22">
        <v>35.479999499999998</v>
      </c>
      <c r="W1722" s="22">
        <v>36.090000199999999</v>
      </c>
      <c r="X1722" s="22">
        <v>31.561206800000001</v>
      </c>
      <c r="Y1722" s="22">
        <v>635700</v>
      </c>
      <c r="Z1722" s="22">
        <v>8.1004900000000001E-3</v>
      </c>
    </row>
    <row r="1723" spans="19:26" ht="16" x14ac:dyDescent="0.2">
      <c r="S1723" s="23">
        <v>44635</v>
      </c>
      <c r="T1723" s="22">
        <v>36.470001199999999</v>
      </c>
      <c r="U1723" s="22">
        <v>37.229999499999998</v>
      </c>
      <c r="V1723" s="22">
        <v>36.349998499999998</v>
      </c>
      <c r="W1723" s="22">
        <v>37.099998499999998</v>
      </c>
      <c r="X1723" s="22">
        <v>32.444469499999997</v>
      </c>
      <c r="Y1723" s="22">
        <v>547100</v>
      </c>
      <c r="Z1723" s="22">
        <v>2.798571E-2</v>
      </c>
    </row>
    <row r="1724" spans="19:26" ht="16" x14ac:dyDescent="0.2">
      <c r="S1724" s="23">
        <v>44636</v>
      </c>
      <c r="T1724" s="22">
        <v>37.159999800000001</v>
      </c>
      <c r="U1724" s="22">
        <v>37.419998200000002</v>
      </c>
      <c r="V1724" s="22">
        <v>35.720001199999999</v>
      </c>
      <c r="W1724" s="22">
        <v>36.459999099999997</v>
      </c>
      <c r="X1724" s="22">
        <v>31.884779000000002</v>
      </c>
      <c r="Y1724" s="22">
        <v>730800</v>
      </c>
      <c r="Z1724" s="22">
        <v>-1.7250700000000001E-2</v>
      </c>
    </row>
    <row r="1725" spans="19:26" ht="16" x14ac:dyDescent="0.2">
      <c r="S1725" s="23">
        <v>44637</v>
      </c>
      <c r="T1725" s="22">
        <v>36.369998899999999</v>
      </c>
      <c r="U1725" s="22">
        <v>37</v>
      </c>
      <c r="V1725" s="22">
        <v>36.369998899999999</v>
      </c>
      <c r="W1725" s="22">
        <v>36.709999099999997</v>
      </c>
      <c r="X1725" s="22">
        <v>32.103408799999997</v>
      </c>
      <c r="Y1725" s="22">
        <v>633100</v>
      </c>
      <c r="Z1725" s="22">
        <v>6.8568700000000002E-3</v>
      </c>
    </row>
    <row r="1726" spans="19:26" ht="16" x14ac:dyDescent="0.2">
      <c r="S1726" s="23">
        <v>44638</v>
      </c>
      <c r="T1726" s="22">
        <v>36.869998899999999</v>
      </c>
      <c r="U1726" s="22">
        <v>37.099998499999998</v>
      </c>
      <c r="V1726" s="22">
        <v>36.119998899999999</v>
      </c>
      <c r="W1726" s="22">
        <v>36.389999400000001</v>
      </c>
      <c r="X1726" s="22">
        <v>31.8235703</v>
      </c>
      <c r="Y1726" s="22">
        <v>1463900</v>
      </c>
      <c r="Z1726" s="22">
        <v>-8.7168000000000002E-3</v>
      </c>
    </row>
    <row r="1727" spans="19:26" ht="16" x14ac:dyDescent="0.2">
      <c r="S1727" s="23">
        <v>44641</v>
      </c>
      <c r="T1727" s="22">
        <v>36.5</v>
      </c>
      <c r="U1727" s="22">
        <v>37</v>
      </c>
      <c r="V1727" s="22">
        <v>36.099998499999998</v>
      </c>
      <c r="W1727" s="22">
        <v>36.5</v>
      </c>
      <c r="X1727" s="22">
        <v>31.919759800000001</v>
      </c>
      <c r="Y1727" s="22">
        <v>639000</v>
      </c>
      <c r="Z1727" s="22">
        <v>3.0225899999999999E-3</v>
      </c>
    </row>
    <row r="1728" spans="19:26" ht="16" x14ac:dyDescent="0.2">
      <c r="S1728" s="23">
        <v>44642</v>
      </c>
      <c r="T1728" s="22">
        <v>36.700000799999998</v>
      </c>
      <c r="U1728" s="22">
        <v>37.029998800000001</v>
      </c>
      <c r="V1728" s="22">
        <v>36.259998299999999</v>
      </c>
      <c r="W1728" s="22">
        <v>36.779998800000001</v>
      </c>
      <c r="X1728" s="22">
        <v>32.164630899999999</v>
      </c>
      <c r="Y1728" s="22">
        <v>606300</v>
      </c>
      <c r="Z1728" s="22">
        <v>7.6714599999999997E-3</v>
      </c>
    </row>
    <row r="1729" spans="19:26" ht="16" x14ac:dyDescent="0.2">
      <c r="S1729" s="23">
        <v>44643</v>
      </c>
      <c r="T1729" s="22">
        <v>36.490001700000001</v>
      </c>
      <c r="U1729" s="22">
        <v>36.5</v>
      </c>
      <c r="V1729" s="22">
        <v>35.580001799999998</v>
      </c>
      <c r="W1729" s="22">
        <v>35.75</v>
      </c>
      <c r="X1729" s="22">
        <v>31.263877900000001</v>
      </c>
      <c r="Y1729" s="22">
        <v>414800</v>
      </c>
      <c r="Z1729" s="22">
        <v>-2.8004500000000002E-2</v>
      </c>
    </row>
    <row r="1730" spans="19:26" ht="16" x14ac:dyDescent="0.2">
      <c r="S1730" s="23">
        <v>44644</v>
      </c>
      <c r="T1730" s="22">
        <v>35.720001199999999</v>
      </c>
      <c r="U1730" s="22">
        <v>36.080001799999998</v>
      </c>
      <c r="V1730" s="22">
        <v>35.700000799999998</v>
      </c>
      <c r="W1730" s="22">
        <v>36.069999699999997</v>
      </c>
      <c r="X1730" s="22">
        <v>31.543720199999999</v>
      </c>
      <c r="Y1730" s="22">
        <v>328300</v>
      </c>
      <c r="Z1730" s="22">
        <v>8.9509800000000007E-3</v>
      </c>
    </row>
    <row r="1731" spans="19:26" ht="16" x14ac:dyDescent="0.2">
      <c r="S1731" s="23">
        <v>44645</v>
      </c>
      <c r="T1731" s="22">
        <v>35.979999499999998</v>
      </c>
      <c r="U1731" s="22">
        <v>36.299999200000002</v>
      </c>
      <c r="V1731" s="22">
        <v>35.919998200000002</v>
      </c>
      <c r="W1731" s="22">
        <v>36.009998299999999</v>
      </c>
      <c r="X1731" s="22">
        <v>31.4912472</v>
      </c>
      <c r="Y1731" s="22">
        <v>328800</v>
      </c>
      <c r="Z1731" s="22">
        <v>-1.6635E-3</v>
      </c>
    </row>
    <row r="1732" spans="19:26" ht="16" x14ac:dyDescent="0.2">
      <c r="S1732" s="23">
        <v>44648</v>
      </c>
      <c r="T1732" s="22">
        <v>35.959999099999997</v>
      </c>
      <c r="U1732" s="22">
        <v>36.790000900000003</v>
      </c>
      <c r="V1732" s="22">
        <v>35.959999099999997</v>
      </c>
      <c r="W1732" s="22">
        <v>36.470001199999999</v>
      </c>
      <c r="X1732" s="22">
        <v>31.893524200000002</v>
      </c>
      <c r="Y1732" s="22">
        <v>413700</v>
      </c>
      <c r="Z1732" s="22">
        <v>1.2774249999999999E-2</v>
      </c>
    </row>
    <row r="1733" spans="19:26" ht="16" x14ac:dyDescent="0.2">
      <c r="S1733" s="23">
        <v>44649</v>
      </c>
      <c r="T1733" s="22">
        <v>36.779998800000001</v>
      </c>
      <c r="U1733" s="22">
        <v>37.599998499999998</v>
      </c>
      <c r="V1733" s="22">
        <v>36.779998800000001</v>
      </c>
      <c r="W1733" s="22">
        <v>37.040000900000003</v>
      </c>
      <c r="X1733" s="22">
        <v>32.391994500000003</v>
      </c>
      <c r="Y1733" s="22">
        <v>529400</v>
      </c>
      <c r="Z1733" s="22">
        <v>1.5629199999999999E-2</v>
      </c>
    </row>
    <row r="1734" spans="19:26" ht="16" x14ac:dyDescent="0.2">
      <c r="S1734" s="23">
        <v>44650</v>
      </c>
      <c r="T1734" s="22">
        <v>36.990001700000001</v>
      </c>
      <c r="U1734" s="22">
        <v>36.990001700000001</v>
      </c>
      <c r="V1734" s="22">
        <v>36.259998299999999</v>
      </c>
      <c r="W1734" s="22">
        <v>36.419998200000002</v>
      </c>
      <c r="X1734" s="22">
        <v>31.849802</v>
      </c>
      <c r="Y1734" s="22">
        <v>408400</v>
      </c>
      <c r="Z1734" s="22">
        <v>-1.67385E-2</v>
      </c>
    </row>
    <row r="1735" spans="19:26" ht="16" x14ac:dyDescent="0.2">
      <c r="S1735" s="23">
        <v>44651</v>
      </c>
      <c r="T1735" s="22">
        <v>36.409999800000001</v>
      </c>
      <c r="U1735" s="22">
        <v>36.669998200000002</v>
      </c>
      <c r="V1735" s="22">
        <v>36.240001700000001</v>
      </c>
      <c r="W1735" s="22">
        <v>36.509998299999999</v>
      </c>
      <c r="X1735" s="22">
        <v>31.928501099999998</v>
      </c>
      <c r="Y1735" s="22">
        <v>640300</v>
      </c>
      <c r="Z1735" s="22">
        <v>2.47095E-3</v>
      </c>
    </row>
    <row r="1736" spans="19:26" ht="16" x14ac:dyDescent="0.2">
      <c r="S1736" s="23">
        <v>44652</v>
      </c>
      <c r="T1736" s="22">
        <v>36.709999099999997</v>
      </c>
      <c r="U1736" s="22">
        <v>36.810001399999997</v>
      </c>
      <c r="V1736" s="22">
        <v>35.689998600000003</v>
      </c>
      <c r="W1736" s="22">
        <v>36.459999099999997</v>
      </c>
      <c r="X1736" s="22">
        <v>31.884779000000002</v>
      </c>
      <c r="Y1736" s="22">
        <v>581700</v>
      </c>
      <c r="Z1736" s="22">
        <v>-1.3694E-3</v>
      </c>
    </row>
    <row r="1737" spans="19:26" ht="16" x14ac:dyDescent="0.2">
      <c r="S1737" s="23">
        <v>44655</v>
      </c>
      <c r="T1737" s="22">
        <v>36.439998600000003</v>
      </c>
      <c r="U1737" s="22">
        <v>36.880001100000001</v>
      </c>
      <c r="V1737" s="22">
        <v>35.799999200000002</v>
      </c>
      <c r="W1737" s="22">
        <v>36.689998600000003</v>
      </c>
      <c r="X1737" s="22">
        <v>32.085918399999997</v>
      </c>
      <c r="Y1737" s="22">
        <v>561600</v>
      </c>
      <c r="Z1737" s="22">
        <v>6.3083200000000001E-3</v>
      </c>
    </row>
    <row r="1738" spans="19:26" ht="16" x14ac:dyDescent="0.2">
      <c r="S1738" s="23">
        <v>44656</v>
      </c>
      <c r="T1738" s="22">
        <v>36.779998800000001</v>
      </c>
      <c r="U1738" s="22">
        <v>37.520000500000002</v>
      </c>
      <c r="V1738" s="22">
        <v>36.209999099999997</v>
      </c>
      <c r="W1738" s="22">
        <v>36.400001500000002</v>
      </c>
      <c r="X1738" s="22">
        <v>31.832311600000001</v>
      </c>
      <c r="Y1738" s="22">
        <v>511300</v>
      </c>
      <c r="Z1738" s="22">
        <v>-7.9039999999999996E-3</v>
      </c>
    </row>
    <row r="1739" spans="19:26" ht="16" x14ac:dyDescent="0.2">
      <c r="S1739" s="23">
        <v>44657</v>
      </c>
      <c r="T1739" s="22">
        <v>36.090000199999999</v>
      </c>
      <c r="U1739" s="22">
        <v>36.470001199999999</v>
      </c>
      <c r="V1739" s="22">
        <v>35.849998499999998</v>
      </c>
      <c r="W1739" s="22">
        <v>36.080001799999998</v>
      </c>
      <c r="X1739" s="22">
        <v>31.552469299999998</v>
      </c>
      <c r="Y1739" s="22">
        <v>623300</v>
      </c>
      <c r="Z1739" s="22">
        <v>-8.7910999999999996E-3</v>
      </c>
    </row>
    <row r="1740" spans="19:26" ht="16" x14ac:dyDescent="0.2">
      <c r="S1740" s="23">
        <v>44658</v>
      </c>
      <c r="T1740" s="22">
        <v>36.110000599999999</v>
      </c>
      <c r="U1740" s="22">
        <v>36.340000199999999</v>
      </c>
      <c r="V1740" s="22">
        <v>35.689998600000003</v>
      </c>
      <c r="W1740" s="22">
        <v>36.139999400000001</v>
      </c>
      <c r="X1740" s="22">
        <v>31.6049404</v>
      </c>
      <c r="Y1740" s="22">
        <v>853900</v>
      </c>
      <c r="Z1740" s="22">
        <v>1.6629800000000001E-3</v>
      </c>
    </row>
    <row r="1741" spans="19:26" ht="16" x14ac:dyDescent="0.2">
      <c r="S1741" s="23">
        <v>44659</v>
      </c>
      <c r="T1741" s="22">
        <v>36.25</v>
      </c>
      <c r="U1741" s="22">
        <v>36.459999099999997</v>
      </c>
      <c r="V1741" s="22">
        <v>35.029998800000001</v>
      </c>
      <c r="W1741" s="22">
        <v>35.090000199999999</v>
      </c>
      <c r="X1741" s="22">
        <v>30.686696999999999</v>
      </c>
      <c r="Y1741" s="22">
        <v>728900</v>
      </c>
      <c r="Z1741" s="22">
        <v>-2.9053800000000001E-2</v>
      </c>
    </row>
    <row r="1742" spans="19:26" ht="16" x14ac:dyDescent="0.2">
      <c r="S1742" s="23">
        <v>44662</v>
      </c>
      <c r="T1742" s="22">
        <v>35.270000500000002</v>
      </c>
      <c r="U1742" s="22">
        <v>35.840000199999999</v>
      </c>
      <c r="V1742" s="22">
        <v>35.110000599999999</v>
      </c>
      <c r="W1742" s="22">
        <v>35.369998899999999</v>
      </c>
      <c r="X1742" s="22">
        <v>30.9315605</v>
      </c>
      <c r="Y1742" s="22">
        <v>978000</v>
      </c>
      <c r="Z1742" s="22">
        <v>7.9794700000000007E-3</v>
      </c>
    </row>
    <row r="1743" spans="19:26" ht="16" x14ac:dyDescent="0.2">
      <c r="S1743" s="23">
        <v>44663</v>
      </c>
      <c r="T1743" s="22">
        <v>35.509998299999999</v>
      </c>
      <c r="U1743" s="22">
        <v>35.709999099999997</v>
      </c>
      <c r="V1743" s="22">
        <v>34.299999200000002</v>
      </c>
      <c r="W1743" s="22">
        <v>34.299999200000002</v>
      </c>
      <c r="X1743" s="22">
        <v>29.995828599999999</v>
      </c>
      <c r="Y1743" s="22">
        <v>724500</v>
      </c>
      <c r="Z1743" s="22">
        <v>-3.0251699999999999E-2</v>
      </c>
    </row>
    <row r="1744" spans="19:26" ht="16" x14ac:dyDescent="0.2">
      <c r="S1744" s="23">
        <v>44664</v>
      </c>
      <c r="T1744" s="22">
        <v>34.299999200000002</v>
      </c>
      <c r="U1744" s="22">
        <v>34.439998600000003</v>
      </c>
      <c r="V1744" s="22">
        <v>33.360000599999999</v>
      </c>
      <c r="W1744" s="22">
        <v>33.599998499999998</v>
      </c>
      <c r="X1744" s="22">
        <v>29.383672700000002</v>
      </c>
      <c r="Y1744" s="22">
        <v>1054300</v>
      </c>
      <c r="Z1744" s="22">
        <v>-2.0407999999999999E-2</v>
      </c>
    </row>
    <row r="1745" spans="19:26" ht="16" x14ac:dyDescent="0.2">
      <c r="S1745" s="23">
        <v>44665</v>
      </c>
      <c r="T1745" s="22">
        <v>33.619998899999999</v>
      </c>
      <c r="U1745" s="22">
        <v>34.590000199999999</v>
      </c>
      <c r="V1745" s="22">
        <v>33.619998899999999</v>
      </c>
      <c r="W1745" s="22">
        <v>34.240001700000001</v>
      </c>
      <c r="X1745" s="22">
        <v>29.943359399999999</v>
      </c>
      <c r="Y1745" s="22">
        <v>2203500</v>
      </c>
      <c r="Z1745" s="22">
        <v>1.9047540000000002E-2</v>
      </c>
    </row>
    <row r="1746" spans="19:26" ht="16" x14ac:dyDescent="0.2">
      <c r="S1746" s="23">
        <v>44669</v>
      </c>
      <c r="T1746" s="22">
        <v>34.229999499999998</v>
      </c>
      <c r="U1746" s="22">
        <v>34.619998899999999</v>
      </c>
      <c r="V1746" s="22">
        <v>33.590000199999999</v>
      </c>
      <c r="W1746" s="22">
        <v>33.790000900000003</v>
      </c>
      <c r="X1746" s="22">
        <v>29.549831399999999</v>
      </c>
      <c r="Y1746" s="22">
        <v>891100</v>
      </c>
      <c r="Z1746" s="22">
        <v>-1.31424E-2</v>
      </c>
    </row>
    <row r="1747" spans="19:26" ht="16" x14ac:dyDescent="0.2">
      <c r="S1747" s="23">
        <v>44670</v>
      </c>
      <c r="T1747" s="22">
        <v>33.799999200000002</v>
      </c>
      <c r="U1747" s="22">
        <v>34.139999400000001</v>
      </c>
      <c r="V1747" s="22">
        <v>33.720001199999999</v>
      </c>
      <c r="W1747" s="22">
        <v>34.080001799999998</v>
      </c>
      <c r="X1747" s="22">
        <v>29.8034401</v>
      </c>
      <c r="Y1747" s="22">
        <v>667500</v>
      </c>
      <c r="Z1747" s="22">
        <v>8.5824100000000004E-3</v>
      </c>
    </row>
    <row r="1748" spans="19:26" ht="16" x14ac:dyDescent="0.2">
      <c r="S1748" s="23">
        <v>44671</v>
      </c>
      <c r="T1748" s="22">
        <v>34.490001700000001</v>
      </c>
      <c r="U1748" s="22">
        <v>35.409999800000001</v>
      </c>
      <c r="V1748" s="22">
        <v>34.459999099999997</v>
      </c>
      <c r="W1748" s="22">
        <v>35</v>
      </c>
      <c r="X1748" s="22">
        <v>30.607990300000001</v>
      </c>
      <c r="Y1748" s="22">
        <v>944700</v>
      </c>
      <c r="Z1748" s="22">
        <v>2.6995209999999999E-2</v>
      </c>
    </row>
    <row r="1749" spans="19:26" ht="16" x14ac:dyDescent="0.2">
      <c r="S1749" s="23">
        <v>44672</v>
      </c>
      <c r="T1749" s="22">
        <v>35.020000500000002</v>
      </c>
      <c r="U1749" s="22">
        <v>35.25</v>
      </c>
      <c r="V1749" s="22">
        <v>33.389999400000001</v>
      </c>
      <c r="W1749" s="22">
        <v>33.400001500000002</v>
      </c>
      <c r="X1749" s="22">
        <v>29.2087708</v>
      </c>
      <c r="Y1749" s="22">
        <v>1117800</v>
      </c>
      <c r="Z1749" s="22">
        <v>-4.5714200000000003E-2</v>
      </c>
    </row>
    <row r="1750" spans="19:26" ht="16" x14ac:dyDescent="0.2">
      <c r="S1750" s="23">
        <v>44673</v>
      </c>
      <c r="T1750" s="22">
        <v>33.180000300000003</v>
      </c>
      <c r="U1750" s="22">
        <v>33.349998499999998</v>
      </c>
      <c r="V1750" s="22">
        <v>31.639999400000001</v>
      </c>
      <c r="W1750" s="22">
        <v>31.639999400000001</v>
      </c>
      <c r="X1750" s="22">
        <v>27.669624299999999</v>
      </c>
      <c r="Y1750" s="22">
        <v>2396300</v>
      </c>
      <c r="Z1750" s="22">
        <v>-5.2694699999999997E-2</v>
      </c>
    </row>
    <row r="1751" spans="19:26" ht="16" x14ac:dyDescent="0.2">
      <c r="S1751" s="23">
        <v>44676</v>
      </c>
      <c r="T1751" s="22">
        <v>31.479999500000002</v>
      </c>
      <c r="U1751" s="22">
        <v>31.790000899999999</v>
      </c>
      <c r="V1751" s="22">
        <v>30.959999100000001</v>
      </c>
      <c r="W1751" s="22">
        <v>31.6200008</v>
      </c>
      <c r="X1751" s="22">
        <v>27.652133899999999</v>
      </c>
      <c r="Y1751" s="22">
        <v>798900</v>
      </c>
      <c r="Z1751" s="22">
        <v>-6.3210000000000002E-4</v>
      </c>
    </row>
    <row r="1752" spans="19:26" ht="16" x14ac:dyDescent="0.2">
      <c r="S1752" s="23">
        <v>44677</v>
      </c>
      <c r="T1752" s="22">
        <v>31.4300003</v>
      </c>
      <c r="U1752" s="22">
        <v>32.360000599999999</v>
      </c>
      <c r="V1752" s="22">
        <v>31.399999600000001</v>
      </c>
      <c r="W1752" s="22">
        <v>32.060001399999997</v>
      </c>
      <c r="X1752" s="22">
        <v>28.0369186</v>
      </c>
      <c r="Y1752" s="22">
        <v>952600</v>
      </c>
      <c r="Z1752" s="22">
        <v>1.3915189999999999E-2</v>
      </c>
    </row>
    <row r="1753" spans="19:26" ht="16" x14ac:dyDescent="0.2">
      <c r="S1753" s="23">
        <v>44678</v>
      </c>
      <c r="T1753" s="22">
        <v>32.069999699999997</v>
      </c>
      <c r="U1753" s="22">
        <v>32.509998299999999</v>
      </c>
      <c r="V1753" s="22">
        <v>31.579999900000001</v>
      </c>
      <c r="W1753" s="22">
        <v>31.729999500000002</v>
      </c>
      <c r="X1753" s="22">
        <v>27.748329200000001</v>
      </c>
      <c r="Y1753" s="22">
        <v>912100</v>
      </c>
      <c r="Z1753" s="22">
        <v>-1.0293200000000001E-2</v>
      </c>
    </row>
    <row r="1754" spans="19:26" ht="16" x14ac:dyDescent="0.2">
      <c r="S1754" s="23">
        <v>44679</v>
      </c>
      <c r="T1754" s="22">
        <v>31.9400005</v>
      </c>
      <c r="U1754" s="22">
        <v>31.969999300000001</v>
      </c>
      <c r="V1754" s="22">
        <v>31.1900005</v>
      </c>
      <c r="W1754" s="22">
        <v>31.4899998</v>
      </c>
      <c r="X1754" s="22">
        <v>27.538446400000002</v>
      </c>
      <c r="Y1754" s="22">
        <v>667900</v>
      </c>
      <c r="Z1754" s="22">
        <v>-7.5637999999999999E-3</v>
      </c>
    </row>
    <row r="1755" spans="19:26" ht="16" x14ac:dyDescent="0.2">
      <c r="S1755" s="23">
        <v>44680</v>
      </c>
      <c r="T1755" s="22">
        <v>31.209999100000001</v>
      </c>
      <c r="U1755" s="22">
        <v>31.5699997</v>
      </c>
      <c r="V1755" s="22">
        <v>30.4899998</v>
      </c>
      <c r="W1755" s="22">
        <v>30.530000699999999</v>
      </c>
      <c r="X1755" s="22">
        <v>26.698913600000001</v>
      </c>
      <c r="Y1755" s="22">
        <v>621500</v>
      </c>
      <c r="Z1755" s="22">
        <v>-3.04858E-2</v>
      </c>
    </row>
    <row r="1756" spans="19:26" ht="16" x14ac:dyDescent="0.2">
      <c r="S1756" s="23">
        <v>44683</v>
      </c>
      <c r="T1756" s="22">
        <v>30.610000599999999</v>
      </c>
      <c r="U1756" s="22">
        <v>30.799999199999998</v>
      </c>
      <c r="V1756" s="22">
        <v>29.610000599999999</v>
      </c>
      <c r="W1756" s="22">
        <v>30.100000399999999</v>
      </c>
      <c r="X1756" s="22">
        <v>26.322872199999999</v>
      </c>
      <c r="Y1756" s="22">
        <v>797100</v>
      </c>
      <c r="Z1756" s="22">
        <v>-1.40845E-2</v>
      </c>
    </row>
    <row r="1757" spans="19:26" ht="16" x14ac:dyDescent="0.2">
      <c r="S1757" s="23">
        <v>44684</v>
      </c>
      <c r="T1757" s="22">
        <v>30</v>
      </c>
      <c r="U1757" s="22">
        <v>31.5100002</v>
      </c>
      <c r="V1757" s="22">
        <v>29.8099995</v>
      </c>
      <c r="W1757" s="22">
        <v>31.3799992</v>
      </c>
      <c r="X1757" s="22">
        <v>27.442247399999999</v>
      </c>
      <c r="Y1757" s="22">
        <v>697500</v>
      </c>
      <c r="Z1757" s="22">
        <v>4.2524810000000003E-2</v>
      </c>
    </row>
    <row r="1758" spans="19:26" ht="16" x14ac:dyDescent="0.2">
      <c r="S1758" s="23">
        <v>44685</v>
      </c>
      <c r="T1758" s="22">
        <v>31.600000399999999</v>
      </c>
      <c r="U1758" s="22">
        <v>32.919998200000002</v>
      </c>
      <c r="V1758" s="22">
        <v>31.600000399999999</v>
      </c>
      <c r="W1758" s="22">
        <v>32.900001500000002</v>
      </c>
      <c r="X1758" s="22">
        <v>28.7715149</v>
      </c>
      <c r="Y1758" s="22">
        <v>887200</v>
      </c>
      <c r="Z1758" s="22">
        <v>4.8438729999999999E-2</v>
      </c>
    </row>
    <row r="1759" spans="19:26" ht="16" x14ac:dyDescent="0.2">
      <c r="S1759" s="23">
        <v>44686</v>
      </c>
      <c r="T1759" s="22">
        <v>32.220001199999999</v>
      </c>
      <c r="U1759" s="22">
        <v>32.909999800000001</v>
      </c>
      <c r="V1759" s="22">
        <v>31.5100002</v>
      </c>
      <c r="W1759" s="22">
        <v>32.150001500000002</v>
      </c>
      <c r="X1759" s="22">
        <v>28.1156273</v>
      </c>
      <c r="Y1759" s="22">
        <v>1043400</v>
      </c>
      <c r="Z1759" s="22">
        <v>-2.2796400000000001E-2</v>
      </c>
    </row>
    <row r="1760" spans="19:26" ht="16" x14ac:dyDescent="0.2">
      <c r="S1760" s="23">
        <v>44687</v>
      </c>
      <c r="T1760" s="22">
        <v>32.020000500000002</v>
      </c>
      <c r="U1760" s="22">
        <v>32.290000900000003</v>
      </c>
      <c r="V1760" s="22">
        <v>31.4400005</v>
      </c>
      <c r="W1760" s="22">
        <v>31.649999600000001</v>
      </c>
      <c r="X1760" s="22">
        <v>27.678367600000001</v>
      </c>
      <c r="Y1760" s="22">
        <v>891100</v>
      </c>
      <c r="Z1760" s="22">
        <v>-1.55522E-2</v>
      </c>
    </row>
    <row r="1761" spans="19:26" ht="16" x14ac:dyDescent="0.2">
      <c r="S1761" s="23">
        <v>44690</v>
      </c>
      <c r="T1761" s="22">
        <v>31.5</v>
      </c>
      <c r="U1761" s="22">
        <v>32.029998800000001</v>
      </c>
      <c r="V1761" s="22">
        <v>31.079999900000001</v>
      </c>
      <c r="W1761" s="22">
        <v>31.549999199999998</v>
      </c>
      <c r="X1761" s="22">
        <v>27.5909157</v>
      </c>
      <c r="Y1761" s="22">
        <v>994700</v>
      </c>
      <c r="Z1761" s="22">
        <v>-3.1595999999999998E-3</v>
      </c>
    </row>
    <row r="1762" spans="19:26" ht="16" x14ac:dyDescent="0.2">
      <c r="S1762" s="23">
        <v>44691</v>
      </c>
      <c r="T1762" s="22">
        <v>31.920000099999999</v>
      </c>
      <c r="U1762" s="22">
        <v>32.240001700000001</v>
      </c>
      <c r="V1762" s="22">
        <v>30.770000499999998</v>
      </c>
      <c r="W1762" s="22">
        <v>31.9899998</v>
      </c>
      <c r="X1762" s="22">
        <v>27.975702299999998</v>
      </c>
      <c r="Y1762" s="22">
        <v>986800</v>
      </c>
      <c r="Z1762" s="22">
        <v>1.3946129999999999E-2</v>
      </c>
    </row>
    <row r="1763" spans="19:26" ht="16" x14ac:dyDescent="0.2">
      <c r="S1763" s="23">
        <v>44692</v>
      </c>
      <c r="T1763" s="22">
        <v>31.6800003</v>
      </c>
      <c r="U1763" s="22">
        <v>31.920000099999999</v>
      </c>
      <c r="V1763" s="22">
        <v>31.0599995</v>
      </c>
      <c r="W1763" s="22">
        <v>31.159999800000001</v>
      </c>
      <c r="X1763" s="22">
        <v>27.249856900000001</v>
      </c>
      <c r="Y1763" s="22">
        <v>718600</v>
      </c>
      <c r="Z1763" s="22">
        <v>-2.5945599999999999E-2</v>
      </c>
    </row>
    <row r="1764" spans="19:26" ht="16" x14ac:dyDescent="0.2">
      <c r="S1764" s="23">
        <v>44693</v>
      </c>
      <c r="T1764" s="22">
        <v>31.75</v>
      </c>
      <c r="U1764" s="22">
        <v>32.200000799999998</v>
      </c>
      <c r="V1764" s="22">
        <v>30.3700008</v>
      </c>
      <c r="W1764" s="22">
        <v>31</v>
      </c>
      <c r="X1764" s="22">
        <v>27.109935799999999</v>
      </c>
      <c r="Y1764" s="22">
        <v>1061700</v>
      </c>
      <c r="Z1764" s="22">
        <v>-5.1346999999999999E-3</v>
      </c>
    </row>
    <row r="1765" spans="19:26" ht="16" x14ac:dyDescent="0.2">
      <c r="S1765" s="23">
        <v>44694</v>
      </c>
      <c r="T1765" s="22">
        <v>31.4300003</v>
      </c>
      <c r="U1765" s="22">
        <v>31.7399998</v>
      </c>
      <c r="V1765" s="22">
        <v>31.0599995</v>
      </c>
      <c r="W1765" s="22">
        <v>31.329999900000001</v>
      </c>
      <c r="X1765" s="22">
        <v>27.398523300000001</v>
      </c>
      <c r="Y1765" s="22">
        <v>513900</v>
      </c>
      <c r="Z1765" s="22">
        <v>1.0645079999999999E-2</v>
      </c>
    </row>
    <row r="1766" spans="19:26" ht="16" x14ac:dyDescent="0.2">
      <c r="S1766" s="23">
        <v>44697</v>
      </c>
      <c r="T1766" s="22">
        <v>31.329999900000001</v>
      </c>
      <c r="U1766" s="22">
        <v>32.099998499999998</v>
      </c>
      <c r="V1766" s="22">
        <v>31.329999900000001</v>
      </c>
      <c r="W1766" s="22">
        <v>31.959999100000001</v>
      </c>
      <c r="X1766" s="22">
        <v>27.949468599999999</v>
      </c>
      <c r="Y1766" s="22">
        <v>652700</v>
      </c>
      <c r="Z1766" s="22">
        <v>2.0108580000000001E-2</v>
      </c>
    </row>
    <row r="1767" spans="19:26" ht="16" x14ac:dyDescent="0.2">
      <c r="S1767" s="23">
        <v>44698</v>
      </c>
      <c r="T1767" s="22">
        <v>32.459999099999997</v>
      </c>
      <c r="U1767" s="22">
        <v>33.119998899999999</v>
      </c>
      <c r="V1767" s="22">
        <v>31.9400005</v>
      </c>
      <c r="W1767" s="22">
        <v>33.080001799999998</v>
      </c>
      <c r="X1767" s="22">
        <v>28.928922700000001</v>
      </c>
      <c r="Y1767" s="22">
        <v>902300</v>
      </c>
      <c r="Z1767" s="22">
        <v>3.5043739999999997E-2</v>
      </c>
    </row>
    <row r="1768" spans="19:26" ht="16" x14ac:dyDescent="0.2">
      <c r="S1768" s="23">
        <v>44699</v>
      </c>
      <c r="T1768" s="22">
        <v>32.930000300000003</v>
      </c>
      <c r="U1768" s="22">
        <v>33.919998200000002</v>
      </c>
      <c r="V1768" s="22">
        <v>32.740001700000001</v>
      </c>
      <c r="W1768" s="22">
        <v>33.159999800000001</v>
      </c>
      <c r="X1768" s="22">
        <v>28.9988861</v>
      </c>
      <c r="Y1768" s="22">
        <v>1192100</v>
      </c>
      <c r="Z1768" s="22">
        <v>2.4184599999999999E-3</v>
      </c>
    </row>
    <row r="1769" spans="19:26" ht="16" x14ac:dyDescent="0.2">
      <c r="S1769" s="23">
        <v>44700</v>
      </c>
      <c r="T1769" s="22">
        <v>32.970001199999999</v>
      </c>
      <c r="U1769" s="22">
        <v>33.659999800000001</v>
      </c>
      <c r="V1769" s="22">
        <v>32.459999099999997</v>
      </c>
      <c r="W1769" s="22">
        <v>32.770000500000002</v>
      </c>
      <c r="X1769" s="22">
        <v>28.657825500000001</v>
      </c>
      <c r="Y1769" s="22">
        <v>589200</v>
      </c>
      <c r="Z1769" s="22">
        <v>-1.1761199999999999E-2</v>
      </c>
    </row>
    <row r="1770" spans="19:26" ht="16" x14ac:dyDescent="0.2">
      <c r="S1770" s="23">
        <v>44701</v>
      </c>
      <c r="T1770" s="22">
        <v>32.939998600000003</v>
      </c>
      <c r="U1770" s="22">
        <v>33.200000799999998</v>
      </c>
      <c r="V1770" s="22">
        <v>32.029998800000001</v>
      </c>
      <c r="W1770" s="22">
        <v>32.709999099999997</v>
      </c>
      <c r="X1770" s="22">
        <v>28.6053505</v>
      </c>
      <c r="Y1770" s="22">
        <v>433600</v>
      </c>
      <c r="Z1770" s="22">
        <v>-1.8311E-3</v>
      </c>
    </row>
    <row r="1771" spans="19:26" ht="16" x14ac:dyDescent="0.2">
      <c r="S1771" s="23">
        <v>44704</v>
      </c>
      <c r="T1771" s="22">
        <v>32.900001500000002</v>
      </c>
      <c r="U1771" s="22">
        <v>33.069999699999997</v>
      </c>
      <c r="V1771" s="22">
        <v>32.520000500000002</v>
      </c>
      <c r="W1771" s="22">
        <v>32.779998800000001</v>
      </c>
      <c r="X1771" s="22">
        <v>28.666566799999998</v>
      </c>
      <c r="Y1771" s="22">
        <v>448500</v>
      </c>
      <c r="Z1771" s="22">
        <v>2.1400299999999998E-3</v>
      </c>
    </row>
    <row r="1772" spans="19:26" ht="16" x14ac:dyDescent="0.2">
      <c r="S1772" s="23">
        <v>44705</v>
      </c>
      <c r="T1772" s="22">
        <v>32.630001100000001</v>
      </c>
      <c r="U1772" s="22">
        <v>32.880001100000001</v>
      </c>
      <c r="V1772" s="22">
        <v>32.060001399999997</v>
      </c>
      <c r="W1772" s="22">
        <v>32.759998299999999</v>
      </c>
      <c r="X1772" s="22">
        <v>28.6490765</v>
      </c>
      <c r="Y1772" s="22">
        <v>418000</v>
      </c>
      <c r="Z1772" s="22">
        <v>-6.1010000000000003E-4</v>
      </c>
    </row>
    <row r="1773" spans="19:26" ht="16" x14ac:dyDescent="0.2">
      <c r="S1773" s="23">
        <v>44706</v>
      </c>
      <c r="T1773" s="22">
        <v>33.810001399999997</v>
      </c>
      <c r="U1773" s="22">
        <v>34.810001399999997</v>
      </c>
      <c r="V1773" s="22">
        <v>33.650001500000002</v>
      </c>
      <c r="W1773" s="22">
        <v>34.490001700000001</v>
      </c>
      <c r="X1773" s="22">
        <v>30.1619873</v>
      </c>
      <c r="Y1773" s="22">
        <v>1321400</v>
      </c>
      <c r="Z1773" s="22">
        <v>5.2808359999999999E-2</v>
      </c>
    </row>
    <row r="1774" spans="19:26" ht="16" x14ac:dyDescent="0.2">
      <c r="S1774" s="23">
        <v>44707</v>
      </c>
      <c r="T1774" s="22">
        <v>34.569999699999997</v>
      </c>
      <c r="U1774" s="22">
        <v>35.5</v>
      </c>
      <c r="V1774" s="22">
        <v>34.479999499999998</v>
      </c>
      <c r="W1774" s="22">
        <v>35.139999400000001</v>
      </c>
      <c r="X1774" s="22">
        <v>30.730424899999999</v>
      </c>
      <c r="Y1774" s="22">
        <v>1041400</v>
      </c>
      <c r="Z1774" s="22">
        <v>1.8846160000000001E-2</v>
      </c>
    </row>
    <row r="1775" spans="19:26" ht="16" x14ac:dyDescent="0.2">
      <c r="S1775" s="23">
        <v>44708</v>
      </c>
      <c r="T1775" s="22">
        <v>35.119998899999999</v>
      </c>
      <c r="U1775" s="22">
        <v>36.220001199999999</v>
      </c>
      <c r="V1775" s="22">
        <v>35.119998899999999</v>
      </c>
      <c r="W1775" s="22">
        <v>36.150001500000002</v>
      </c>
      <c r="X1775" s="22">
        <v>31.613681799999998</v>
      </c>
      <c r="Y1775" s="22">
        <v>622000</v>
      </c>
      <c r="Z1775" s="22">
        <v>2.87421E-2</v>
      </c>
    </row>
    <row r="1776" spans="19:26" ht="16" x14ac:dyDescent="0.2">
      <c r="S1776" s="23">
        <v>44712</v>
      </c>
      <c r="T1776" s="22">
        <v>35.569999699999997</v>
      </c>
      <c r="U1776" s="22">
        <v>35.569999699999997</v>
      </c>
      <c r="V1776" s="22">
        <v>34.729999499999998</v>
      </c>
      <c r="W1776" s="22">
        <v>35.049999200000002</v>
      </c>
      <c r="X1776" s="22">
        <v>30.954839700000001</v>
      </c>
      <c r="Y1776" s="22">
        <v>776200</v>
      </c>
      <c r="Z1776" s="22">
        <v>-2.0840399999999999E-2</v>
      </c>
    </row>
    <row r="1777" spans="19:26" ht="16" x14ac:dyDescent="0.2">
      <c r="S1777" s="23">
        <v>44713</v>
      </c>
      <c r="T1777" s="22">
        <v>35.080001799999998</v>
      </c>
      <c r="U1777" s="22">
        <v>35.259998299999999</v>
      </c>
      <c r="V1777" s="22">
        <v>34.439998600000003</v>
      </c>
      <c r="W1777" s="22">
        <v>34.659999800000001</v>
      </c>
      <c r="X1777" s="22">
        <v>30.610406900000001</v>
      </c>
      <c r="Y1777" s="22">
        <v>651000</v>
      </c>
      <c r="Z1777" s="22">
        <v>-1.11269E-2</v>
      </c>
    </row>
    <row r="1778" spans="19:26" ht="16" x14ac:dyDescent="0.2">
      <c r="S1778" s="23">
        <v>44714</v>
      </c>
      <c r="T1778" s="22">
        <v>34.779998800000001</v>
      </c>
      <c r="U1778" s="22">
        <v>35.229999499999998</v>
      </c>
      <c r="V1778" s="22">
        <v>34.419998200000002</v>
      </c>
      <c r="W1778" s="22">
        <v>35.200000799999998</v>
      </c>
      <c r="X1778" s="22">
        <v>31.087312699999998</v>
      </c>
      <c r="Y1778" s="22">
        <v>406500</v>
      </c>
      <c r="Z1778" s="22">
        <v>1.5579859999999999E-2</v>
      </c>
    </row>
    <row r="1779" spans="19:26" ht="16" x14ac:dyDescent="0.2">
      <c r="S1779" s="23">
        <v>44715</v>
      </c>
      <c r="T1779" s="22">
        <v>35.159999800000001</v>
      </c>
      <c r="U1779" s="22">
        <v>35.159999800000001</v>
      </c>
      <c r="V1779" s="22">
        <v>34.830001799999998</v>
      </c>
      <c r="W1779" s="22">
        <v>35.060001399999997</v>
      </c>
      <c r="X1779" s="22">
        <v>30.963670700000002</v>
      </c>
      <c r="Y1779" s="22">
        <v>342000</v>
      </c>
      <c r="Z1779" s="22">
        <v>-3.9772000000000002E-3</v>
      </c>
    </row>
    <row r="1780" spans="19:26" ht="16" x14ac:dyDescent="0.2">
      <c r="S1780" s="23">
        <v>44718</v>
      </c>
      <c r="T1780" s="22">
        <v>35.520000500000002</v>
      </c>
      <c r="U1780" s="22">
        <v>36.209999099999997</v>
      </c>
      <c r="V1780" s="22">
        <v>35.490001700000001</v>
      </c>
      <c r="W1780" s="22">
        <v>36.090000199999999</v>
      </c>
      <c r="X1780" s="22">
        <v>31.873331100000001</v>
      </c>
      <c r="Y1780" s="22">
        <v>706300</v>
      </c>
      <c r="Z1780" s="22">
        <v>2.9378310000000001E-2</v>
      </c>
    </row>
    <row r="1781" spans="19:26" ht="16" x14ac:dyDescent="0.2">
      <c r="S1781" s="23">
        <v>44719</v>
      </c>
      <c r="T1781" s="22">
        <v>36.080001799999998</v>
      </c>
      <c r="U1781" s="22">
        <v>37.090000199999999</v>
      </c>
      <c r="V1781" s="22">
        <v>36.060001399999997</v>
      </c>
      <c r="W1781" s="22">
        <v>36.939998600000003</v>
      </c>
      <c r="X1781" s="22">
        <v>32.624008199999999</v>
      </c>
      <c r="Y1781" s="22">
        <v>594800</v>
      </c>
      <c r="Z1781" s="22">
        <v>2.3551889999999999E-2</v>
      </c>
    </row>
    <row r="1782" spans="19:26" ht="16" x14ac:dyDescent="0.2">
      <c r="S1782" s="23">
        <v>44720</v>
      </c>
      <c r="T1782" s="22">
        <v>36.630001100000001</v>
      </c>
      <c r="U1782" s="22">
        <v>37.479999499999998</v>
      </c>
      <c r="V1782" s="22">
        <v>36.630001100000001</v>
      </c>
      <c r="W1782" s="22">
        <v>37.130001100000001</v>
      </c>
      <c r="X1782" s="22">
        <v>32.7918205</v>
      </c>
      <c r="Y1782" s="22">
        <v>821400</v>
      </c>
      <c r="Z1782" s="22">
        <v>5.1438300000000003E-3</v>
      </c>
    </row>
    <row r="1783" spans="19:26" ht="16" x14ac:dyDescent="0.2">
      <c r="S1783" s="23">
        <v>44721</v>
      </c>
      <c r="T1783" s="22">
        <v>36.900001500000002</v>
      </c>
      <c r="U1783" s="22">
        <v>37.299999200000002</v>
      </c>
      <c r="V1783" s="22">
        <v>36.090000199999999</v>
      </c>
      <c r="W1783" s="22">
        <v>36.130001100000001</v>
      </c>
      <c r="X1783" s="22">
        <v>31.908653300000001</v>
      </c>
      <c r="Y1783" s="22">
        <v>936800</v>
      </c>
      <c r="Z1783" s="22">
        <v>-2.6932500000000002E-2</v>
      </c>
    </row>
    <row r="1784" spans="19:26" ht="16" x14ac:dyDescent="0.2">
      <c r="S1784" s="23">
        <v>44722</v>
      </c>
      <c r="T1784" s="22">
        <v>35.5</v>
      </c>
      <c r="U1784" s="22">
        <v>35.75</v>
      </c>
      <c r="V1784" s="22">
        <v>34.790000900000003</v>
      </c>
      <c r="W1784" s="22">
        <v>35.110000599999999</v>
      </c>
      <c r="X1784" s="22">
        <v>31.0078335</v>
      </c>
      <c r="Y1784" s="22">
        <v>745900</v>
      </c>
      <c r="Z1784" s="22">
        <v>-2.8231200000000001E-2</v>
      </c>
    </row>
    <row r="1785" spans="19:26" ht="16" x14ac:dyDescent="0.2">
      <c r="S1785" s="23">
        <v>44725</v>
      </c>
      <c r="T1785" s="22">
        <v>34.330001799999998</v>
      </c>
      <c r="U1785" s="22">
        <v>34.529998800000001</v>
      </c>
      <c r="V1785" s="22">
        <v>32.950000799999998</v>
      </c>
      <c r="W1785" s="22">
        <v>33.169998200000002</v>
      </c>
      <c r="X1785" s="22">
        <v>29.2944946</v>
      </c>
      <c r="Y1785" s="22">
        <v>535500</v>
      </c>
      <c r="Z1785" s="22">
        <v>-5.5254999999999999E-2</v>
      </c>
    </row>
    <row r="1786" spans="19:26" ht="16" x14ac:dyDescent="0.2">
      <c r="S1786" s="23">
        <v>44726</v>
      </c>
      <c r="T1786" s="22">
        <v>33.029998800000001</v>
      </c>
      <c r="U1786" s="22">
        <v>33.200000799999998</v>
      </c>
      <c r="V1786" s="22">
        <v>31.860000599999999</v>
      </c>
      <c r="W1786" s="22">
        <v>32.360000599999999</v>
      </c>
      <c r="X1786" s="22">
        <v>28.579132099999999</v>
      </c>
      <c r="Y1786" s="22">
        <v>663900</v>
      </c>
      <c r="Z1786" s="22">
        <v>-2.4419699999999999E-2</v>
      </c>
    </row>
    <row r="1787" spans="19:26" ht="16" x14ac:dyDescent="0.2">
      <c r="S1787" s="23">
        <v>44727</v>
      </c>
      <c r="T1787" s="22">
        <v>32.830001799999998</v>
      </c>
      <c r="U1787" s="22">
        <v>33.599998499999998</v>
      </c>
      <c r="V1787" s="22">
        <v>32.400001500000002</v>
      </c>
      <c r="W1787" s="22">
        <v>33.200000799999998</v>
      </c>
      <c r="X1787" s="22">
        <v>29.320993399999999</v>
      </c>
      <c r="Y1787" s="22">
        <v>605600</v>
      </c>
      <c r="Z1787" s="22">
        <v>2.5958149999999999E-2</v>
      </c>
    </row>
    <row r="1788" spans="19:26" ht="16" x14ac:dyDescent="0.2">
      <c r="S1788" s="23">
        <v>44728</v>
      </c>
      <c r="T1788" s="22">
        <v>32.470001199999999</v>
      </c>
      <c r="U1788" s="22">
        <v>32.759998299999999</v>
      </c>
      <c r="V1788" s="22">
        <v>30.75</v>
      </c>
      <c r="W1788" s="22">
        <v>31.299999199999998</v>
      </c>
      <c r="X1788" s="22">
        <v>27.6429863</v>
      </c>
      <c r="Y1788" s="22">
        <v>597900</v>
      </c>
      <c r="Z1788" s="22">
        <v>-5.7228899999999999E-2</v>
      </c>
    </row>
    <row r="1789" spans="19:26" ht="16" x14ac:dyDescent="0.2">
      <c r="S1789" s="23">
        <v>44729</v>
      </c>
      <c r="T1789" s="22">
        <v>32.189998600000003</v>
      </c>
      <c r="U1789" s="22">
        <v>32.189998600000003</v>
      </c>
      <c r="V1789" s="22">
        <v>31.110000599999999</v>
      </c>
      <c r="W1789" s="22">
        <v>32.099998499999998</v>
      </c>
      <c r="X1789" s="22">
        <v>28.349510200000001</v>
      </c>
      <c r="Y1789" s="22">
        <v>956900</v>
      </c>
      <c r="Z1789" s="22">
        <v>2.5558879999999999E-2</v>
      </c>
    </row>
    <row r="1790" spans="19:26" ht="16" x14ac:dyDescent="0.2">
      <c r="S1790" s="23">
        <v>44733</v>
      </c>
      <c r="T1790" s="22">
        <v>32.599998499999998</v>
      </c>
      <c r="U1790" s="22">
        <v>32.779998800000001</v>
      </c>
      <c r="V1790" s="22">
        <v>32</v>
      </c>
      <c r="W1790" s="22">
        <v>32.619998899999999</v>
      </c>
      <c r="X1790" s="22">
        <v>28.808755900000001</v>
      </c>
      <c r="Y1790" s="22">
        <v>760700</v>
      </c>
      <c r="Z1790" s="22">
        <v>1.6199419999999999E-2</v>
      </c>
    </row>
    <row r="1791" spans="19:26" ht="16" x14ac:dyDescent="0.2">
      <c r="S1791" s="23">
        <v>44734</v>
      </c>
      <c r="T1791" s="22">
        <v>32.189998600000003</v>
      </c>
      <c r="U1791" s="22">
        <v>33.060001399999997</v>
      </c>
      <c r="V1791" s="22">
        <v>32.189998600000003</v>
      </c>
      <c r="W1791" s="22">
        <v>32.659999800000001</v>
      </c>
      <c r="X1791" s="22">
        <v>28.844085700000001</v>
      </c>
      <c r="Y1791" s="22">
        <v>416100</v>
      </c>
      <c r="Z1791" s="22">
        <v>1.2263599999999999E-3</v>
      </c>
    </row>
    <row r="1792" spans="19:26" ht="16" x14ac:dyDescent="0.2">
      <c r="S1792" s="23">
        <v>44735</v>
      </c>
      <c r="T1792" s="22">
        <v>32.740001700000001</v>
      </c>
      <c r="U1792" s="22">
        <v>34.020000500000002</v>
      </c>
      <c r="V1792" s="22">
        <v>32.360000599999999</v>
      </c>
      <c r="W1792" s="22">
        <v>33.970001199999999</v>
      </c>
      <c r="X1792" s="22">
        <v>30.0010242</v>
      </c>
      <c r="Y1792" s="22">
        <v>562600</v>
      </c>
      <c r="Z1792" s="22">
        <v>4.0110079999999999E-2</v>
      </c>
    </row>
    <row r="1793" spans="19:26" ht="16" x14ac:dyDescent="0.2">
      <c r="S1793" s="23">
        <v>44736</v>
      </c>
      <c r="T1793" s="22">
        <v>34.069999699999997</v>
      </c>
      <c r="U1793" s="22">
        <v>35.180000300000003</v>
      </c>
      <c r="V1793" s="22">
        <v>33.880001100000001</v>
      </c>
      <c r="W1793" s="22">
        <v>35.159999800000001</v>
      </c>
      <c r="X1793" s="22">
        <v>31.0519924</v>
      </c>
      <c r="Y1793" s="22">
        <v>2258700</v>
      </c>
      <c r="Z1793" s="22">
        <v>3.5031079999999999E-2</v>
      </c>
    </row>
    <row r="1794" spans="19:26" ht="16" x14ac:dyDescent="0.2">
      <c r="S1794" s="23">
        <v>44739</v>
      </c>
      <c r="T1794" s="22">
        <v>35.380001100000001</v>
      </c>
      <c r="U1794" s="22">
        <v>35.790000900000003</v>
      </c>
      <c r="V1794" s="22">
        <v>34.810001399999997</v>
      </c>
      <c r="W1794" s="22">
        <v>35.680000300000003</v>
      </c>
      <c r="X1794" s="22">
        <v>31.511236199999999</v>
      </c>
      <c r="Y1794" s="22">
        <v>459900</v>
      </c>
      <c r="Z1794" s="22">
        <v>1.4789510000000001E-2</v>
      </c>
    </row>
    <row r="1795" spans="19:26" ht="16" x14ac:dyDescent="0.2">
      <c r="S1795" s="23">
        <v>44740</v>
      </c>
      <c r="T1795" s="22">
        <v>35.979999499999998</v>
      </c>
      <c r="U1795" s="22">
        <v>36.110000599999999</v>
      </c>
      <c r="V1795" s="22">
        <v>35.020000500000002</v>
      </c>
      <c r="W1795" s="22">
        <v>35.099998499999998</v>
      </c>
      <c r="X1795" s="22">
        <v>30.998996699999999</v>
      </c>
      <c r="Y1795" s="22">
        <v>448100</v>
      </c>
      <c r="Z1795" s="22">
        <v>-1.6255800000000001E-2</v>
      </c>
    </row>
    <row r="1796" spans="19:26" ht="16" x14ac:dyDescent="0.2">
      <c r="S1796" s="23">
        <v>44741</v>
      </c>
      <c r="T1796" s="22">
        <v>33.930000300000003</v>
      </c>
      <c r="U1796" s="22">
        <v>34.830001799999998</v>
      </c>
      <c r="V1796" s="22">
        <v>33.200000799999998</v>
      </c>
      <c r="W1796" s="22">
        <v>34.529998800000001</v>
      </c>
      <c r="X1796" s="22">
        <v>30.4955921</v>
      </c>
      <c r="Y1796" s="22">
        <v>542800</v>
      </c>
      <c r="Z1796" s="22">
        <v>-1.6239400000000001E-2</v>
      </c>
    </row>
    <row r="1797" spans="19:26" ht="16" x14ac:dyDescent="0.2">
      <c r="S1797" s="23">
        <v>44742</v>
      </c>
      <c r="T1797" s="22">
        <v>34.200000799999998</v>
      </c>
      <c r="U1797" s="22">
        <v>34.970001199999999</v>
      </c>
      <c r="V1797" s="22">
        <v>34.009998299999999</v>
      </c>
      <c r="W1797" s="22">
        <v>34.840000199999999</v>
      </c>
      <c r="X1797" s="22">
        <v>30.7693768</v>
      </c>
      <c r="Y1797" s="22">
        <v>440500</v>
      </c>
      <c r="Z1797" s="22">
        <v>8.9778400000000008E-3</v>
      </c>
    </row>
    <row r="1798" spans="19:26" ht="16" x14ac:dyDescent="0.2">
      <c r="S1798" s="23">
        <v>44743</v>
      </c>
      <c r="T1798" s="22">
        <v>34.520000500000002</v>
      </c>
      <c r="U1798" s="22">
        <v>35.659999800000001</v>
      </c>
      <c r="V1798" s="22">
        <v>34.470001199999999</v>
      </c>
      <c r="W1798" s="22">
        <v>35.630001100000001</v>
      </c>
      <c r="X1798" s="22">
        <v>31.467075300000001</v>
      </c>
      <c r="Y1798" s="22">
        <v>459900</v>
      </c>
      <c r="Z1798" s="22">
        <v>2.26751E-2</v>
      </c>
    </row>
    <row r="1799" spans="19:26" ht="16" x14ac:dyDescent="0.2">
      <c r="S1799" s="23">
        <v>44747</v>
      </c>
      <c r="T1799" s="22">
        <v>35.430000300000003</v>
      </c>
      <c r="U1799" s="22">
        <v>35.470001199999999</v>
      </c>
      <c r="V1799" s="22">
        <v>33.840000199999999</v>
      </c>
      <c r="W1799" s="22">
        <v>35.090000199999999</v>
      </c>
      <c r="X1799" s="22">
        <v>30.990171400000001</v>
      </c>
      <c r="Y1799" s="22">
        <v>547600</v>
      </c>
      <c r="Z1799" s="22">
        <v>-1.51556E-2</v>
      </c>
    </row>
    <row r="1800" spans="19:26" ht="16" x14ac:dyDescent="0.2">
      <c r="S1800" s="23">
        <v>44748</v>
      </c>
      <c r="T1800" s="22">
        <v>34.900001500000002</v>
      </c>
      <c r="U1800" s="22">
        <v>35.729999499999998</v>
      </c>
      <c r="V1800" s="22">
        <v>34.799999200000002</v>
      </c>
      <c r="W1800" s="22">
        <v>35.349998499999998</v>
      </c>
      <c r="X1800" s="22">
        <v>31.219791399999998</v>
      </c>
      <c r="Y1800" s="22">
        <v>342000</v>
      </c>
      <c r="Z1800" s="22">
        <v>7.4094499999999997E-3</v>
      </c>
    </row>
    <row r="1801" spans="19:26" ht="16" x14ac:dyDescent="0.2">
      <c r="S1801" s="23">
        <v>44749</v>
      </c>
      <c r="T1801" s="22">
        <v>35.659999800000001</v>
      </c>
      <c r="U1801" s="22">
        <v>36.110000599999999</v>
      </c>
      <c r="V1801" s="22">
        <v>35.400001500000002</v>
      </c>
      <c r="W1801" s="22">
        <v>35.529998800000001</v>
      </c>
      <c r="X1801" s="22">
        <v>31.3787594</v>
      </c>
      <c r="Y1801" s="22">
        <v>348000</v>
      </c>
      <c r="Z1801" s="22">
        <v>5.0918999999999999E-3</v>
      </c>
    </row>
    <row r="1802" spans="19:26" ht="16" x14ac:dyDescent="0.2">
      <c r="S1802" s="23">
        <v>44750</v>
      </c>
      <c r="T1802" s="22">
        <v>35.520000500000002</v>
      </c>
      <c r="U1802" s="22">
        <v>35.650001500000002</v>
      </c>
      <c r="V1802" s="22">
        <v>35.259998299999999</v>
      </c>
      <c r="W1802" s="22">
        <v>35.650001500000002</v>
      </c>
      <c r="X1802" s="22">
        <v>31.4847374</v>
      </c>
      <c r="Y1802" s="22">
        <v>317400</v>
      </c>
      <c r="Z1802" s="22">
        <v>3.3773800000000001E-3</v>
      </c>
    </row>
    <row r="1803" spans="19:26" ht="16" x14ac:dyDescent="0.2">
      <c r="S1803" s="23">
        <v>44753</v>
      </c>
      <c r="T1803" s="22">
        <v>35.279998800000001</v>
      </c>
      <c r="U1803" s="22">
        <v>35.669998200000002</v>
      </c>
      <c r="V1803" s="22">
        <v>34.75</v>
      </c>
      <c r="W1803" s="22">
        <v>35.169998200000002</v>
      </c>
      <c r="X1803" s="22">
        <v>31.060819599999999</v>
      </c>
      <c r="Y1803" s="22">
        <v>419200</v>
      </c>
      <c r="Z1803" s="22">
        <v>-1.3464200000000001E-2</v>
      </c>
    </row>
    <row r="1804" spans="19:26" ht="16" x14ac:dyDescent="0.2">
      <c r="S1804" s="23">
        <v>44754</v>
      </c>
      <c r="T1804" s="22">
        <v>35.049999200000002</v>
      </c>
      <c r="U1804" s="22">
        <v>35.290000900000003</v>
      </c>
      <c r="V1804" s="22">
        <v>34.130001100000001</v>
      </c>
      <c r="W1804" s="22">
        <v>34.330001799999998</v>
      </c>
      <c r="X1804" s="22">
        <v>30.318965899999998</v>
      </c>
      <c r="Y1804" s="22">
        <v>595500</v>
      </c>
      <c r="Z1804" s="22">
        <v>-2.38839E-2</v>
      </c>
    </row>
    <row r="1805" spans="19:26" ht="16" x14ac:dyDescent="0.2">
      <c r="S1805" s="23">
        <v>44755</v>
      </c>
      <c r="T1805" s="22">
        <v>33.869998899999999</v>
      </c>
      <c r="U1805" s="22">
        <v>34.700000799999998</v>
      </c>
      <c r="V1805" s="22">
        <v>33.779998800000001</v>
      </c>
      <c r="W1805" s="22">
        <v>34.380001100000001</v>
      </c>
      <c r="X1805" s="22">
        <v>30.3631229</v>
      </c>
      <c r="Y1805" s="22">
        <v>381400</v>
      </c>
      <c r="Z1805" s="22">
        <v>1.4564199999999999E-3</v>
      </c>
    </row>
    <row r="1806" spans="19:26" ht="16" x14ac:dyDescent="0.2">
      <c r="S1806" s="23">
        <v>44756</v>
      </c>
      <c r="T1806" s="22">
        <v>33.880001100000001</v>
      </c>
      <c r="U1806" s="22">
        <v>34.709999099999997</v>
      </c>
      <c r="V1806" s="22">
        <v>33.779998800000001</v>
      </c>
      <c r="W1806" s="22">
        <v>34.709999099999997</v>
      </c>
      <c r="X1806" s="22">
        <v>30.654567700000001</v>
      </c>
      <c r="Y1806" s="22">
        <v>594400</v>
      </c>
      <c r="Z1806" s="22">
        <v>9.5986400000000003E-3</v>
      </c>
    </row>
    <row r="1807" spans="19:26" ht="16" x14ac:dyDescent="0.2">
      <c r="S1807" s="23">
        <v>44757</v>
      </c>
      <c r="T1807" s="22">
        <v>34.979999499999998</v>
      </c>
      <c r="U1807" s="22">
        <v>35.060001399999997</v>
      </c>
      <c r="V1807" s="22">
        <v>33.400001500000002</v>
      </c>
      <c r="W1807" s="22">
        <v>35</v>
      </c>
      <c r="X1807" s="22">
        <v>30.910686500000001</v>
      </c>
      <c r="Y1807" s="22">
        <v>916900</v>
      </c>
      <c r="Z1807" s="22">
        <v>8.3549999999999996E-3</v>
      </c>
    </row>
    <row r="1808" spans="19:26" ht="16" x14ac:dyDescent="0.2">
      <c r="S1808" s="23">
        <v>44760</v>
      </c>
      <c r="T1808" s="22">
        <v>35.279998800000001</v>
      </c>
      <c r="U1808" s="22">
        <v>35.279998800000001</v>
      </c>
      <c r="V1808" s="22">
        <v>33.840000199999999</v>
      </c>
      <c r="W1808" s="22">
        <v>33.840000199999999</v>
      </c>
      <c r="X1808" s="22">
        <v>29.886215199999999</v>
      </c>
      <c r="Y1808" s="22">
        <v>580800</v>
      </c>
      <c r="Z1808" s="22">
        <v>-3.3142900000000003E-2</v>
      </c>
    </row>
    <row r="1809" spans="19:26" ht="16" x14ac:dyDescent="0.2">
      <c r="S1809" s="23">
        <v>44761</v>
      </c>
      <c r="T1809" s="22">
        <v>34</v>
      </c>
      <c r="U1809" s="22">
        <v>34.400001500000002</v>
      </c>
      <c r="V1809" s="22">
        <v>33.939998600000003</v>
      </c>
      <c r="W1809" s="22">
        <v>34</v>
      </c>
      <c r="X1809" s="22">
        <v>30.0275249</v>
      </c>
      <c r="Y1809" s="22">
        <v>444700</v>
      </c>
      <c r="Z1809" s="22">
        <v>4.7282599999999998E-3</v>
      </c>
    </row>
    <row r="1810" spans="19:26" ht="16" x14ac:dyDescent="0.2">
      <c r="S1810" s="23">
        <v>44762</v>
      </c>
      <c r="T1810" s="22">
        <v>34.25</v>
      </c>
      <c r="U1810" s="22">
        <v>34.360000599999999</v>
      </c>
      <c r="V1810" s="22">
        <v>33.659999800000001</v>
      </c>
      <c r="W1810" s="22">
        <v>34.119998899999999</v>
      </c>
      <c r="X1810" s="22">
        <v>30.1335011</v>
      </c>
      <c r="Y1810" s="22">
        <v>689300</v>
      </c>
      <c r="Z1810" s="22">
        <v>3.5293E-3</v>
      </c>
    </row>
    <row r="1811" spans="19:26" ht="16" x14ac:dyDescent="0.2">
      <c r="S1811" s="23">
        <v>44763</v>
      </c>
      <c r="T1811" s="22">
        <v>33.729999499999998</v>
      </c>
      <c r="U1811" s="22">
        <v>34.060001399999997</v>
      </c>
      <c r="V1811" s="22">
        <v>32.900001500000002</v>
      </c>
      <c r="W1811" s="22">
        <v>33.5</v>
      </c>
      <c r="X1811" s="22">
        <v>29.585935599999999</v>
      </c>
      <c r="Y1811" s="22">
        <v>477300</v>
      </c>
      <c r="Z1811" s="22">
        <v>-1.8171300000000001E-2</v>
      </c>
    </row>
    <row r="1812" spans="19:26" ht="16" x14ac:dyDescent="0.2">
      <c r="S1812" s="23">
        <v>44764</v>
      </c>
      <c r="T1812" s="22">
        <v>33.799999200000002</v>
      </c>
      <c r="U1812" s="22">
        <v>34.060001399999997</v>
      </c>
      <c r="V1812" s="22">
        <v>33.540000900000003</v>
      </c>
      <c r="W1812" s="22">
        <v>34</v>
      </c>
      <c r="X1812" s="22">
        <v>30.0275249</v>
      </c>
      <c r="Y1812" s="22">
        <v>537800</v>
      </c>
      <c r="Z1812" s="22">
        <v>1.492565E-2</v>
      </c>
    </row>
    <row r="1813" spans="19:26" ht="16" x14ac:dyDescent="0.2">
      <c r="S1813" s="23">
        <v>44767</v>
      </c>
      <c r="T1813" s="22">
        <v>34.080001799999998</v>
      </c>
      <c r="U1813" s="22">
        <v>34.409999800000001</v>
      </c>
      <c r="V1813" s="22">
        <v>33.790000900000003</v>
      </c>
      <c r="W1813" s="22">
        <v>34.360000599999999</v>
      </c>
      <c r="X1813" s="22">
        <v>30.3454628</v>
      </c>
      <c r="Y1813" s="22">
        <v>548500</v>
      </c>
      <c r="Z1813" s="22">
        <v>1.0588210000000001E-2</v>
      </c>
    </row>
    <row r="1814" spans="19:26" ht="16" x14ac:dyDescent="0.2">
      <c r="S1814" s="23">
        <v>44768</v>
      </c>
      <c r="T1814" s="22">
        <v>34.110000599999999</v>
      </c>
      <c r="U1814" s="22">
        <v>34.990001700000001</v>
      </c>
      <c r="V1814" s="22">
        <v>34.110000599999999</v>
      </c>
      <c r="W1814" s="22">
        <v>34.979999499999998</v>
      </c>
      <c r="X1814" s="22">
        <v>30.8930206</v>
      </c>
      <c r="Y1814" s="22">
        <v>569200</v>
      </c>
      <c r="Z1814" s="22">
        <v>1.804414E-2</v>
      </c>
    </row>
    <row r="1815" spans="19:26" ht="16" x14ac:dyDescent="0.2">
      <c r="S1815" s="23">
        <v>44769</v>
      </c>
      <c r="T1815" s="22">
        <v>35.009998299999999</v>
      </c>
      <c r="U1815" s="22">
        <v>35.889999400000001</v>
      </c>
      <c r="V1815" s="22">
        <v>34.950000799999998</v>
      </c>
      <c r="W1815" s="22">
        <v>35.799999200000002</v>
      </c>
      <c r="X1815" s="22">
        <v>31.617212299999998</v>
      </c>
      <c r="Y1815" s="22">
        <v>384800</v>
      </c>
      <c r="Z1815" s="22">
        <v>2.3441920000000002E-2</v>
      </c>
    </row>
    <row r="1816" spans="19:26" ht="16" x14ac:dyDescent="0.2">
      <c r="S1816" s="23">
        <v>44770</v>
      </c>
      <c r="T1816" s="22">
        <v>37.119998899999999</v>
      </c>
      <c r="U1816" s="22">
        <v>38.950000799999998</v>
      </c>
      <c r="V1816" s="22">
        <v>36.849998499999998</v>
      </c>
      <c r="W1816" s="22">
        <v>37.470001199999999</v>
      </c>
      <c r="X1816" s="22">
        <v>33.092098200000002</v>
      </c>
      <c r="Y1816" s="22">
        <v>1166400</v>
      </c>
      <c r="Z1816" s="22">
        <v>4.6648200000000001E-2</v>
      </c>
    </row>
    <row r="1817" spans="19:26" ht="16" x14ac:dyDescent="0.2">
      <c r="S1817" s="23">
        <v>44771</v>
      </c>
      <c r="T1817" s="22">
        <v>37.540000900000003</v>
      </c>
      <c r="U1817" s="22">
        <v>37.889999400000001</v>
      </c>
      <c r="V1817" s="22">
        <v>37.459999099999997</v>
      </c>
      <c r="W1817" s="22">
        <v>37.540000900000003</v>
      </c>
      <c r="X1817" s="22">
        <v>33.153915400000002</v>
      </c>
      <c r="Y1817" s="22">
        <v>639400</v>
      </c>
      <c r="Z1817" s="22">
        <v>1.8680299999999999E-3</v>
      </c>
    </row>
    <row r="1818" spans="19:26" ht="16" x14ac:dyDescent="0.2">
      <c r="S1818" s="23">
        <v>44774</v>
      </c>
      <c r="T1818" s="22">
        <v>37.520000500000002</v>
      </c>
      <c r="U1818" s="22">
        <v>37.819999699999997</v>
      </c>
      <c r="V1818" s="22">
        <v>37.150001500000002</v>
      </c>
      <c r="W1818" s="22">
        <v>37.439998600000003</v>
      </c>
      <c r="X1818" s="22">
        <v>33.065597500000003</v>
      </c>
      <c r="Y1818" s="22">
        <v>501100</v>
      </c>
      <c r="Z1818" s="22">
        <v>-2.6638999999999999E-3</v>
      </c>
    </row>
    <row r="1819" spans="19:26" ht="16" x14ac:dyDescent="0.2">
      <c r="S1819" s="23">
        <v>44775</v>
      </c>
      <c r="T1819" s="22">
        <v>37.159999800000001</v>
      </c>
      <c r="U1819" s="22">
        <v>37.299999200000002</v>
      </c>
      <c r="V1819" s="22">
        <v>36.419998200000002</v>
      </c>
      <c r="W1819" s="22">
        <v>36.849998499999998</v>
      </c>
      <c r="X1819" s="22">
        <v>32.544536600000001</v>
      </c>
      <c r="Y1819" s="22">
        <v>637500</v>
      </c>
      <c r="Z1819" s="22">
        <v>-1.5758399999999999E-2</v>
      </c>
    </row>
    <row r="1820" spans="19:26" ht="16" x14ac:dyDescent="0.2">
      <c r="S1820" s="23">
        <v>44776</v>
      </c>
      <c r="T1820" s="22">
        <v>37.119998899999999</v>
      </c>
      <c r="U1820" s="22">
        <v>37.880001100000001</v>
      </c>
      <c r="V1820" s="22">
        <v>36.599998499999998</v>
      </c>
      <c r="W1820" s="22">
        <v>37.759998299999999</v>
      </c>
      <c r="X1820" s="22">
        <v>33.348216999999998</v>
      </c>
      <c r="Y1820" s="22">
        <v>906600</v>
      </c>
      <c r="Z1820" s="22">
        <v>2.4694790000000001E-2</v>
      </c>
    </row>
    <row r="1821" spans="19:26" ht="16" x14ac:dyDescent="0.2">
      <c r="S1821" s="23">
        <v>44777</v>
      </c>
      <c r="T1821" s="22">
        <v>37.700000799999998</v>
      </c>
      <c r="U1821" s="22">
        <v>38.159999800000001</v>
      </c>
      <c r="V1821" s="22">
        <v>37</v>
      </c>
      <c r="W1821" s="22">
        <v>37.880001100000001</v>
      </c>
      <c r="X1821" s="22">
        <v>33.454189300000003</v>
      </c>
      <c r="Y1821" s="22">
        <v>956800</v>
      </c>
      <c r="Z1821" s="22">
        <v>3.17775E-3</v>
      </c>
    </row>
    <row r="1822" spans="19:26" ht="16" x14ac:dyDescent="0.2">
      <c r="S1822" s="23">
        <v>44778</v>
      </c>
      <c r="T1822" s="22">
        <v>38.060001399999997</v>
      </c>
      <c r="U1822" s="22">
        <v>38.259998299999999</v>
      </c>
      <c r="V1822" s="22">
        <v>36.950000799999998</v>
      </c>
      <c r="W1822" s="22">
        <v>37.25</v>
      </c>
      <c r="X1822" s="22">
        <v>32.897804299999997</v>
      </c>
      <c r="Y1822" s="22">
        <v>645600</v>
      </c>
      <c r="Z1822" s="22">
        <v>-1.6631300000000002E-2</v>
      </c>
    </row>
    <row r="1823" spans="19:26" ht="16" x14ac:dyDescent="0.2">
      <c r="S1823" s="23">
        <v>44781</v>
      </c>
      <c r="T1823" s="22">
        <v>37.590000199999999</v>
      </c>
      <c r="U1823" s="22">
        <v>38.090000199999999</v>
      </c>
      <c r="V1823" s="22">
        <v>36.990001700000001</v>
      </c>
      <c r="W1823" s="22">
        <v>38.069999699999997</v>
      </c>
      <c r="X1823" s="22">
        <v>33.621982600000003</v>
      </c>
      <c r="Y1823" s="22">
        <v>858400</v>
      </c>
      <c r="Z1823" s="22">
        <v>2.201297E-2</v>
      </c>
    </row>
    <row r="1824" spans="19:26" ht="16" x14ac:dyDescent="0.2">
      <c r="S1824" s="23">
        <v>44782</v>
      </c>
      <c r="T1824" s="22">
        <v>38.080001799999998</v>
      </c>
      <c r="U1824" s="22">
        <v>38.220001199999999</v>
      </c>
      <c r="V1824" s="22">
        <v>37.049999200000002</v>
      </c>
      <c r="W1824" s="22">
        <v>37.369998899999999</v>
      </c>
      <c r="X1824" s="22">
        <v>33.003776600000002</v>
      </c>
      <c r="Y1824" s="22">
        <v>853200</v>
      </c>
      <c r="Z1824" s="22">
        <v>-1.8387000000000001E-2</v>
      </c>
    </row>
    <row r="1825" spans="19:26" ht="16" x14ac:dyDescent="0.2">
      <c r="S1825" s="23">
        <v>44783</v>
      </c>
      <c r="T1825" s="22">
        <v>37.860000599999999</v>
      </c>
      <c r="U1825" s="22">
        <v>38.060001399999997</v>
      </c>
      <c r="V1825" s="22">
        <v>37.319999699999997</v>
      </c>
      <c r="W1825" s="22">
        <v>38.040000900000003</v>
      </c>
      <c r="X1825" s="22">
        <v>33.595497100000003</v>
      </c>
      <c r="Y1825" s="22">
        <v>837400</v>
      </c>
      <c r="Z1825" s="22">
        <v>1.792887E-2</v>
      </c>
    </row>
    <row r="1826" spans="19:26" ht="16" x14ac:dyDescent="0.2">
      <c r="S1826" s="23">
        <v>44784</v>
      </c>
      <c r="T1826" s="22">
        <v>38.360000599999999</v>
      </c>
      <c r="U1826" s="22">
        <v>38.979999499999998</v>
      </c>
      <c r="V1826" s="22">
        <v>37.939998600000003</v>
      </c>
      <c r="W1826" s="22">
        <v>38.720001199999999</v>
      </c>
      <c r="X1826" s="22">
        <v>34.196048699999999</v>
      </c>
      <c r="Y1826" s="22">
        <v>952800</v>
      </c>
      <c r="Z1826" s="22">
        <v>1.787596E-2</v>
      </c>
    </row>
    <row r="1827" spans="19:26" ht="16" x14ac:dyDescent="0.2">
      <c r="S1827" s="23">
        <v>44785</v>
      </c>
      <c r="T1827" s="22">
        <v>39</v>
      </c>
      <c r="U1827" s="22">
        <v>39.299999200000002</v>
      </c>
      <c r="V1827" s="22">
        <v>38.560001399999997</v>
      </c>
      <c r="W1827" s="22">
        <v>39.299999200000002</v>
      </c>
      <c r="X1827" s="22">
        <v>34.708278700000001</v>
      </c>
      <c r="Y1827" s="22">
        <v>1008500</v>
      </c>
      <c r="Z1827" s="22">
        <v>1.497921E-2</v>
      </c>
    </row>
    <row r="1828" spans="19:26" ht="16" x14ac:dyDescent="0.2">
      <c r="S1828" s="23">
        <v>44788</v>
      </c>
      <c r="T1828" s="22">
        <v>39.360000599999999</v>
      </c>
      <c r="U1828" s="22">
        <v>40.400001500000002</v>
      </c>
      <c r="V1828" s="22">
        <v>38.860000599999999</v>
      </c>
      <c r="W1828" s="22">
        <v>40.049999200000002</v>
      </c>
      <c r="X1828" s="22">
        <v>35.370651199999998</v>
      </c>
      <c r="Y1828" s="22">
        <v>1135200</v>
      </c>
      <c r="Z1828" s="22">
        <v>1.9083989999999999E-2</v>
      </c>
    </row>
    <row r="1829" spans="19:26" ht="16" x14ac:dyDescent="0.2">
      <c r="S1829" s="23">
        <v>44789</v>
      </c>
      <c r="T1829" s="22">
        <v>39.900001500000002</v>
      </c>
      <c r="U1829" s="22">
        <v>40.599998499999998</v>
      </c>
      <c r="V1829" s="22">
        <v>39.729999499999998</v>
      </c>
      <c r="W1829" s="22">
        <v>40.169998200000002</v>
      </c>
      <c r="X1829" s="22">
        <v>35.476635000000002</v>
      </c>
      <c r="Y1829" s="22">
        <v>645500</v>
      </c>
      <c r="Z1829" s="22">
        <v>2.9963699999999999E-3</v>
      </c>
    </row>
    <row r="1830" spans="19:26" ht="16" x14ac:dyDescent="0.2">
      <c r="S1830" s="23">
        <v>44790</v>
      </c>
      <c r="T1830" s="22">
        <v>39.909999800000001</v>
      </c>
      <c r="U1830" s="22">
        <v>40.880001100000001</v>
      </c>
      <c r="V1830" s="22">
        <v>39.799999200000002</v>
      </c>
      <c r="W1830" s="22">
        <v>40.880001100000001</v>
      </c>
      <c r="X1830" s="22">
        <v>36.103683500000002</v>
      </c>
      <c r="Y1830" s="22">
        <v>583100</v>
      </c>
      <c r="Z1830" s="22">
        <v>1.7674970000000002E-2</v>
      </c>
    </row>
    <row r="1831" spans="19:26" ht="16" x14ac:dyDescent="0.2">
      <c r="S1831" s="23">
        <v>44791</v>
      </c>
      <c r="T1831" s="22">
        <v>40.869998899999999</v>
      </c>
      <c r="U1831" s="22">
        <v>41.790000900000003</v>
      </c>
      <c r="V1831" s="22">
        <v>40.770000500000002</v>
      </c>
      <c r="W1831" s="22">
        <v>41.610000599999999</v>
      </c>
      <c r="X1831" s="22">
        <v>36.748386400000001</v>
      </c>
      <c r="Y1831" s="22">
        <v>759200</v>
      </c>
      <c r="Z1831" s="22">
        <v>1.7856980000000001E-2</v>
      </c>
    </row>
    <row r="1832" spans="19:26" ht="16" x14ac:dyDescent="0.2">
      <c r="S1832" s="23">
        <v>44792</v>
      </c>
      <c r="T1832" s="22">
        <v>41.360000599999999</v>
      </c>
      <c r="U1832" s="22">
        <v>41.549999200000002</v>
      </c>
      <c r="V1832" s="22">
        <v>39.590000199999999</v>
      </c>
      <c r="W1832" s="22">
        <v>39.669998200000002</v>
      </c>
      <c r="X1832" s="22">
        <v>35.035049399999998</v>
      </c>
      <c r="Y1832" s="22">
        <v>1001100</v>
      </c>
      <c r="Z1832" s="22">
        <v>-4.6623499999999998E-2</v>
      </c>
    </row>
    <row r="1833" spans="19:26" ht="16" x14ac:dyDescent="0.2">
      <c r="S1833" s="23">
        <v>44795</v>
      </c>
      <c r="T1833" s="22">
        <v>39.330001799999998</v>
      </c>
      <c r="U1833" s="22">
        <v>39.639999400000001</v>
      </c>
      <c r="V1833" s="22">
        <v>38.840000199999999</v>
      </c>
      <c r="W1833" s="22">
        <v>39</v>
      </c>
      <c r="X1833" s="22">
        <v>34.443332699999999</v>
      </c>
      <c r="Y1833" s="22">
        <v>744200</v>
      </c>
      <c r="Z1833" s="22">
        <v>-1.6889299999999999E-2</v>
      </c>
    </row>
    <row r="1834" spans="19:26" ht="16" x14ac:dyDescent="0.2">
      <c r="S1834" s="23">
        <v>44796</v>
      </c>
      <c r="T1834" s="22">
        <v>39.049999200000002</v>
      </c>
      <c r="U1834" s="22">
        <v>39.209999099999997</v>
      </c>
      <c r="V1834" s="22">
        <v>38.560001399999997</v>
      </c>
      <c r="W1834" s="22">
        <v>38.720001199999999</v>
      </c>
      <c r="X1834" s="22">
        <v>34.196048699999999</v>
      </c>
      <c r="Y1834" s="22">
        <v>573400</v>
      </c>
      <c r="Z1834" s="22">
        <v>-7.1793999999999998E-3</v>
      </c>
    </row>
    <row r="1835" spans="19:26" ht="16" x14ac:dyDescent="0.2">
      <c r="S1835" s="23">
        <v>44797</v>
      </c>
      <c r="T1835" s="22">
        <v>38.819999699999997</v>
      </c>
      <c r="U1835" s="22">
        <v>39.040000900000003</v>
      </c>
      <c r="V1835" s="22">
        <v>38.659999800000001</v>
      </c>
      <c r="W1835" s="22">
        <v>38.75</v>
      </c>
      <c r="X1835" s="22">
        <v>34.222538</v>
      </c>
      <c r="Y1835" s="22">
        <v>661800</v>
      </c>
      <c r="Z1835" s="22">
        <v>7.7463E-4</v>
      </c>
    </row>
    <row r="1836" spans="19:26" ht="16" x14ac:dyDescent="0.2">
      <c r="S1836" s="23">
        <v>44798</v>
      </c>
      <c r="T1836" s="22">
        <v>38.900001500000002</v>
      </c>
      <c r="U1836" s="22">
        <v>39.25</v>
      </c>
      <c r="V1836" s="22">
        <v>38.720001199999999</v>
      </c>
      <c r="W1836" s="22">
        <v>39.009998299999999</v>
      </c>
      <c r="X1836" s="22">
        <v>34.4521637</v>
      </c>
      <c r="Y1836" s="22">
        <v>627700</v>
      </c>
      <c r="Z1836" s="22">
        <v>6.7097800000000003E-3</v>
      </c>
    </row>
    <row r="1837" spans="19:26" ht="16" x14ac:dyDescent="0.2">
      <c r="S1837" s="23">
        <v>44799</v>
      </c>
      <c r="T1837" s="22">
        <v>39.150001500000002</v>
      </c>
      <c r="U1837" s="22">
        <v>39.590000199999999</v>
      </c>
      <c r="V1837" s="22">
        <v>38.180000300000003</v>
      </c>
      <c r="W1837" s="22">
        <v>38.209999099999997</v>
      </c>
      <c r="X1837" s="22">
        <v>33.745632200000003</v>
      </c>
      <c r="Y1837" s="22">
        <v>810900</v>
      </c>
      <c r="Z1837" s="22">
        <v>-2.0507600000000001E-2</v>
      </c>
    </row>
    <row r="1838" spans="19:26" ht="16" x14ac:dyDescent="0.2">
      <c r="S1838" s="23">
        <v>44802</v>
      </c>
      <c r="T1838" s="22">
        <v>37.889999400000001</v>
      </c>
      <c r="U1838" s="22">
        <v>37.939998600000003</v>
      </c>
      <c r="V1838" s="22">
        <v>37.310001399999997</v>
      </c>
      <c r="W1838" s="22">
        <v>37.770000500000002</v>
      </c>
      <c r="X1838" s="22">
        <v>33.357044199999997</v>
      </c>
      <c r="Y1838" s="22">
        <v>597800</v>
      </c>
      <c r="Z1838" s="22">
        <v>-1.15152E-2</v>
      </c>
    </row>
    <row r="1839" spans="19:26" ht="16" x14ac:dyDescent="0.2">
      <c r="S1839" s="23">
        <v>44803</v>
      </c>
      <c r="T1839" s="22">
        <v>37.790000900000003</v>
      </c>
      <c r="U1839" s="22">
        <v>37.889999400000001</v>
      </c>
      <c r="V1839" s="22">
        <v>37.220001199999999</v>
      </c>
      <c r="W1839" s="22">
        <v>37.450000799999998</v>
      </c>
      <c r="X1839" s="22">
        <v>33.074432399999999</v>
      </c>
      <c r="Y1839" s="22">
        <v>682300</v>
      </c>
      <c r="Z1839" s="22">
        <v>-8.4723000000000003E-3</v>
      </c>
    </row>
    <row r="1840" spans="19:26" ht="16" x14ac:dyDescent="0.2">
      <c r="S1840" s="23">
        <v>44804</v>
      </c>
      <c r="T1840" s="22">
        <v>37.009998299999999</v>
      </c>
      <c r="U1840" s="22">
        <v>37.479999499999998</v>
      </c>
      <c r="V1840" s="22">
        <v>36.900001500000002</v>
      </c>
      <c r="W1840" s="22">
        <v>37.099998499999998</v>
      </c>
      <c r="X1840" s="22">
        <v>33.083351100000002</v>
      </c>
      <c r="Y1840" s="22">
        <v>608200</v>
      </c>
      <c r="Z1840" s="22">
        <v>2.6966000000000002E-4</v>
      </c>
    </row>
    <row r="1841" spans="19:26" ht="16" x14ac:dyDescent="0.2">
      <c r="S1841" s="23">
        <v>44805</v>
      </c>
      <c r="T1841" s="22">
        <v>36.979999499999998</v>
      </c>
      <c r="U1841" s="22">
        <v>37.180000300000003</v>
      </c>
      <c r="V1841" s="22">
        <v>36.659999800000001</v>
      </c>
      <c r="W1841" s="22">
        <v>37.130001100000001</v>
      </c>
      <c r="X1841" s="22">
        <v>33.1100998</v>
      </c>
      <c r="Y1841" s="22">
        <v>687200</v>
      </c>
      <c r="Z1841" s="22">
        <v>8.0851999999999996E-4</v>
      </c>
    </row>
    <row r="1842" spans="19:26" ht="16" x14ac:dyDescent="0.2">
      <c r="S1842" s="23">
        <v>44806</v>
      </c>
      <c r="T1842" s="22">
        <v>37.369998899999999</v>
      </c>
      <c r="U1842" s="22">
        <v>38.169998200000002</v>
      </c>
      <c r="V1842" s="22">
        <v>37.040000900000003</v>
      </c>
      <c r="W1842" s="22">
        <v>37.520000500000002</v>
      </c>
      <c r="X1842" s="22">
        <v>33.457878100000002</v>
      </c>
      <c r="Y1842" s="22">
        <v>610200</v>
      </c>
      <c r="Z1842" s="22">
        <v>1.050369E-2</v>
      </c>
    </row>
    <row r="1843" spans="19:26" ht="16" x14ac:dyDescent="0.2">
      <c r="S1843" s="23">
        <v>44810</v>
      </c>
      <c r="T1843" s="22">
        <v>37.650001500000002</v>
      </c>
      <c r="U1843" s="22">
        <v>37.970001199999999</v>
      </c>
      <c r="V1843" s="22">
        <v>37.360000599999999</v>
      </c>
      <c r="W1843" s="22">
        <v>37.869998899999999</v>
      </c>
      <c r="X1843" s="22">
        <v>33.769985200000001</v>
      </c>
      <c r="Y1843" s="22">
        <v>751900</v>
      </c>
      <c r="Z1843" s="22">
        <v>9.3283600000000008E-3</v>
      </c>
    </row>
    <row r="1844" spans="19:26" ht="16" x14ac:dyDescent="0.2">
      <c r="S1844" s="23">
        <v>44811</v>
      </c>
      <c r="T1844" s="22">
        <v>37.909999800000001</v>
      </c>
      <c r="U1844" s="22">
        <v>39.509998299999999</v>
      </c>
      <c r="V1844" s="22">
        <v>37.909999800000001</v>
      </c>
      <c r="W1844" s="22">
        <v>39.430000300000003</v>
      </c>
      <c r="X1844" s="22">
        <v>35.161090899999998</v>
      </c>
      <c r="Y1844" s="22">
        <v>501200</v>
      </c>
      <c r="Z1844" s="22">
        <v>4.1193550000000002E-2</v>
      </c>
    </row>
    <row r="1845" spans="19:26" ht="16" x14ac:dyDescent="0.2">
      <c r="S1845" s="23">
        <v>44812</v>
      </c>
      <c r="T1845" s="22">
        <v>39.090000199999999</v>
      </c>
      <c r="U1845" s="22">
        <v>39.209999099999997</v>
      </c>
      <c r="V1845" s="22">
        <v>38.540000900000003</v>
      </c>
      <c r="W1845" s="22">
        <v>38.900001500000002</v>
      </c>
      <c r="X1845" s="22">
        <v>34.688472699999998</v>
      </c>
      <c r="Y1845" s="22">
        <v>445900</v>
      </c>
      <c r="Z1845" s="22">
        <v>-1.34415E-2</v>
      </c>
    </row>
    <row r="1846" spans="19:26" ht="16" x14ac:dyDescent="0.2">
      <c r="S1846" s="23">
        <v>44813</v>
      </c>
      <c r="T1846" s="22">
        <v>39.180000300000003</v>
      </c>
      <c r="U1846" s="22">
        <v>39.290000900000003</v>
      </c>
      <c r="V1846" s="22">
        <v>38.599998499999998</v>
      </c>
      <c r="W1846" s="22">
        <v>39.189998600000003</v>
      </c>
      <c r="X1846" s="22">
        <v>34.947074899999997</v>
      </c>
      <c r="Y1846" s="22">
        <v>478900</v>
      </c>
      <c r="Z1846" s="22">
        <v>7.4549899999999999E-3</v>
      </c>
    </row>
    <row r="1847" spans="19:26" ht="16" x14ac:dyDescent="0.2">
      <c r="S1847" s="23">
        <v>44816</v>
      </c>
      <c r="T1847" s="22">
        <v>39.369998899999999</v>
      </c>
      <c r="U1847" s="22">
        <v>39.75</v>
      </c>
      <c r="V1847" s="22">
        <v>38.860000599999999</v>
      </c>
      <c r="W1847" s="22">
        <v>39.290000900000003</v>
      </c>
      <c r="X1847" s="22">
        <v>35.036239600000002</v>
      </c>
      <c r="Y1847" s="22">
        <v>547500</v>
      </c>
      <c r="Z1847" s="22">
        <v>2.55142E-3</v>
      </c>
    </row>
    <row r="1848" spans="19:26" ht="16" x14ac:dyDescent="0.2">
      <c r="S1848" s="23">
        <v>44817</v>
      </c>
      <c r="T1848" s="22">
        <v>38.610000599999999</v>
      </c>
      <c r="U1848" s="22">
        <v>38.970001199999999</v>
      </c>
      <c r="V1848" s="22">
        <v>38.25</v>
      </c>
      <c r="W1848" s="22">
        <v>38.799999200000002</v>
      </c>
      <c r="X1848" s="22">
        <v>34.599304199999999</v>
      </c>
      <c r="Y1848" s="22">
        <v>561700</v>
      </c>
      <c r="Z1848" s="22">
        <v>-1.2470999999999999E-2</v>
      </c>
    </row>
    <row r="1849" spans="19:26" ht="16" x14ac:dyDescent="0.2">
      <c r="S1849" s="23">
        <v>44818</v>
      </c>
      <c r="T1849" s="22">
        <v>38.779998800000001</v>
      </c>
      <c r="U1849" s="22">
        <v>39.099998499999998</v>
      </c>
      <c r="V1849" s="22">
        <v>38.419998200000002</v>
      </c>
      <c r="W1849" s="22">
        <v>38.909999800000001</v>
      </c>
      <c r="X1849" s="22">
        <v>34.6973877</v>
      </c>
      <c r="Y1849" s="22">
        <v>425200</v>
      </c>
      <c r="Z1849" s="22">
        <v>2.8348399999999999E-3</v>
      </c>
    </row>
    <row r="1850" spans="19:26" ht="16" x14ac:dyDescent="0.2">
      <c r="S1850" s="23">
        <v>44819</v>
      </c>
      <c r="T1850" s="22">
        <v>38.599998499999998</v>
      </c>
      <c r="U1850" s="22">
        <v>38.669998200000002</v>
      </c>
      <c r="V1850" s="22">
        <v>37.75</v>
      </c>
      <c r="W1850" s="22">
        <v>37.840000199999999</v>
      </c>
      <c r="X1850" s="22">
        <v>33.7432327</v>
      </c>
      <c r="Y1850" s="22">
        <v>438300</v>
      </c>
      <c r="Z1850" s="22">
        <v>-2.7499300000000001E-2</v>
      </c>
    </row>
    <row r="1851" spans="19:26" ht="16" x14ac:dyDescent="0.2">
      <c r="S1851" s="23">
        <v>44820</v>
      </c>
      <c r="T1851" s="22">
        <v>37.590000199999999</v>
      </c>
      <c r="U1851" s="22">
        <v>38.720001199999999</v>
      </c>
      <c r="V1851" s="22">
        <v>37.569999699999997</v>
      </c>
      <c r="W1851" s="22">
        <v>38.470001199999999</v>
      </c>
      <c r="X1851" s="22">
        <v>34.305030799999997</v>
      </c>
      <c r="Y1851" s="22">
        <v>790200</v>
      </c>
      <c r="Z1851" s="22">
        <v>1.6649210000000001E-2</v>
      </c>
    </row>
    <row r="1852" spans="19:26" ht="16" x14ac:dyDescent="0.2">
      <c r="S1852" s="23">
        <v>44823</v>
      </c>
      <c r="T1852" s="22">
        <v>38.229999499999998</v>
      </c>
      <c r="U1852" s="22">
        <v>38.720001199999999</v>
      </c>
      <c r="V1852" s="22">
        <v>37.319999699999997</v>
      </c>
      <c r="W1852" s="22">
        <v>37.930000300000003</v>
      </c>
      <c r="X1852" s="22">
        <v>33.823486299999999</v>
      </c>
      <c r="Y1852" s="22">
        <v>710700</v>
      </c>
      <c r="Z1852" s="22">
        <v>-1.40371E-2</v>
      </c>
    </row>
    <row r="1853" spans="19:26" ht="16" x14ac:dyDescent="0.2">
      <c r="S1853" s="23">
        <v>44824</v>
      </c>
      <c r="T1853" s="22">
        <v>37.5</v>
      </c>
      <c r="U1853" s="22">
        <v>37.5</v>
      </c>
      <c r="V1853" s="22">
        <v>36.340000199999999</v>
      </c>
      <c r="W1853" s="22">
        <v>36.900001500000002</v>
      </c>
      <c r="X1853" s="22">
        <v>32.904998800000001</v>
      </c>
      <c r="Y1853" s="22">
        <v>684300</v>
      </c>
      <c r="Z1853" s="22">
        <v>-2.71553E-2</v>
      </c>
    </row>
    <row r="1854" spans="19:26" ht="16" x14ac:dyDescent="0.2">
      <c r="S1854" s="23">
        <v>44825</v>
      </c>
      <c r="T1854" s="22">
        <v>37.110000599999999</v>
      </c>
      <c r="U1854" s="22">
        <v>37.299999200000002</v>
      </c>
      <c r="V1854" s="22">
        <v>36.209999099999997</v>
      </c>
      <c r="W1854" s="22">
        <v>36.220001199999999</v>
      </c>
      <c r="X1854" s="22">
        <v>32.298622100000003</v>
      </c>
      <c r="Y1854" s="22">
        <v>549400</v>
      </c>
      <c r="Z1854" s="22">
        <v>-1.8428099999999999E-2</v>
      </c>
    </row>
    <row r="1855" spans="19:26" ht="16" x14ac:dyDescent="0.2">
      <c r="S1855" s="23">
        <v>44826</v>
      </c>
      <c r="T1855" s="22">
        <v>35.970001199999999</v>
      </c>
      <c r="U1855" s="22">
        <v>36.169998200000002</v>
      </c>
      <c r="V1855" s="22">
        <v>35.479999499999998</v>
      </c>
      <c r="W1855" s="22">
        <v>35.740001700000001</v>
      </c>
      <c r="X1855" s="22">
        <v>31.870594000000001</v>
      </c>
      <c r="Y1855" s="22">
        <v>647800</v>
      </c>
      <c r="Z1855" s="22">
        <v>-1.32522E-2</v>
      </c>
    </row>
    <row r="1856" spans="19:26" ht="16" x14ac:dyDescent="0.2">
      <c r="S1856" s="23">
        <v>44827</v>
      </c>
      <c r="T1856" s="22">
        <v>35.180000300000003</v>
      </c>
      <c r="U1856" s="22">
        <v>35.340000199999999</v>
      </c>
      <c r="V1856" s="22">
        <v>34.049999200000002</v>
      </c>
      <c r="W1856" s="22">
        <v>34.619998899999999</v>
      </c>
      <c r="X1856" s="22">
        <v>30.871847200000001</v>
      </c>
      <c r="Y1856" s="22">
        <v>980200</v>
      </c>
      <c r="Z1856" s="22">
        <v>-3.13376E-2</v>
      </c>
    </row>
    <row r="1857" spans="19:26" ht="16" x14ac:dyDescent="0.2">
      <c r="S1857" s="23">
        <v>44830</v>
      </c>
      <c r="T1857" s="22">
        <v>34.459999099999997</v>
      </c>
      <c r="U1857" s="22">
        <v>34.630001100000001</v>
      </c>
      <c r="V1857" s="22">
        <v>33.400001500000002</v>
      </c>
      <c r="W1857" s="22">
        <v>33.669998200000002</v>
      </c>
      <c r="X1857" s="22">
        <v>30.024700200000002</v>
      </c>
      <c r="Y1857" s="22">
        <v>578800</v>
      </c>
      <c r="Z1857" s="22">
        <v>-2.7440800000000001E-2</v>
      </c>
    </row>
    <row r="1858" spans="19:26" ht="16" x14ac:dyDescent="0.2">
      <c r="S1858" s="23">
        <v>44831</v>
      </c>
      <c r="T1858" s="22">
        <v>34.040000900000003</v>
      </c>
      <c r="U1858" s="22">
        <v>34.110000599999999</v>
      </c>
      <c r="V1858" s="22">
        <v>32.900001500000002</v>
      </c>
      <c r="W1858" s="22">
        <v>33</v>
      </c>
      <c r="X1858" s="22">
        <v>29.427240399999999</v>
      </c>
      <c r="Y1858" s="22">
        <v>478700</v>
      </c>
      <c r="Z1858" s="22">
        <v>-1.9898900000000001E-2</v>
      </c>
    </row>
    <row r="1859" spans="19:26" ht="16" x14ac:dyDescent="0.2">
      <c r="S1859" s="23">
        <v>44832</v>
      </c>
      <c r="T1859" s="22">
        <v>33.279998800000001</v>
      </c>
      <c r="U1859" s="22">
        <v>33.709999099999997</v>
      </c>
      <c r="V1859" s="22">
        <v>32.810001399999997</v>
      </c>
      <c r="W1859" s="22">
        <v>33.400001500000002</v>
      </c>
      <c r="X1859" s="22">
        <v>29.783933600000001</v>
      </c>
      <c r="Y1859" s="22">
        <v>551100</v>
      </c>
      <c r="Z1859" s="22">
        <v>1.212119E-2</v>
      </c>
    </row>
    <row r="1860" spans="19:26" ht="16" x14ac:dyDescent="0.2">
      <c r="S1860" s="23">
        <v>44833</v>
      </c>
      <c r="T1860" s="22">
        <v>33.040000900000003</v>
      </c>
      <c r="U1860" s="22">
        <v>33.189998600000003</v>
      </c>
      <c r="V1860" s="22">
        <v>31.9899998</v>
      </c>
      <c r="W1860" s="22">
        <v>32.189998600000003</v>
      </c>
      <c r="X1860" s="22">
        <v>28.704929400000001</v>
      </c>
      <c r="Y1860" s="22">
        <v>492000</v>
      </c>
      <c r="Z1860" s="22">
        <v>-3.6227700000000002E-2</v>
      </c>
    </row>
    <row r="1861" spans="19:26" ht="16" x14ac:dyDescent="0.2">
      <c r="S1861" s="23">
        <v>44834</v>
      </c>
      <c r="T1861" s="22">
        <v>32.200000799999998</v>
      </c>
      <c r="U1861" s="22">
        <v>32.560001399999997</v>
      </c>
      <c r="V1861" s="22">
        <v>31.829999900000001</v>
      </c>
      <c r="W1861" s="22">
        <v>31.850000399999999</v>
      </c>
      <c r="X1861" s="22">
        <v>28.401742899999999</v>
      </c>
      <c r="Y1861" s="22">
        <v>666200</v>
      </c>
      <c r="Z1861" s="22">
        <v>-1.0562200000000001E-2</v>
      </c>
    </row>
    <row r="1862" spans="19:26" ht="16" x14ac:dyDescent="0.2">
      <c r="S1862" s="23">
        <v>44837</v>
      </c>
      <c r="T1862" s="22">
        <v>32.340000199999999</v>
      </c>
      <c r="U1862" s="22">
        <v>33.959999099999997</v>
      </c>
      <c r="V1862" s="22">
        <v>31.979999500000002</v>
      </c>
      <c r="W1862" s="22">
        <v>33.639999400000001</v>
      </c>
      <c r="X1862" s="22">
        <v>29.9979458</v>
      </c>
      <c r="Y1862" s="22">
        <v>766800</v>
      </c>
      <c r="Z1862" s="22">
        <v>5.6200880000000002E-2</v>
      </c>
    </row>
    <row r="1863" spans="19:26" ht="16" x14ac:dyDescent="0.2">
      <c r="S1863" s="23">
        <v>44838</v>
      </c>
      <c r="T1863" s="22">
        <v>34.029998800000001</v>
      </c>
      <c r="U1863" s="22">
        <v>34.770000500000002</v>
      </c>
      <c r="V1863" s="22">
        <v>34.029998800000001</v>
      </c>
      <c r="W1863" s="22">
        <v>34.720001199999999</v>
      </c>
      <c r="X1863" s="22">
        <v>30.9610214</v>
      </c>
      <c r="Y1863" s="22">
        <v>660100</v>
      </c>
      <c r="Z1863" s="22">
        <v>3.2104720000000003E-2</v>
      </c>
    </row>
    <row r="1864" spans="19:26" ht="16" x14ac:dyDescent="0.2">
      <c r="S1864" s="23">
        <v>44839</v>
      </c>
      <c r="T1864" s="22">
        <v>34.150001500000002</v>
      </c>
      <c r="U1864" s="22">
        <v>34.220001199999999</v>
      </c>
      <c r="V1864" s="22">
        <v>32.990001700000001</v>
      </c>
      <c r="W1864" s="22">
        <v>33.349998499999998</v>
      </c>
      <c r="X1864" s="22">
        <v>29.7393398</v>
      </c>
      <c r="Y1864" s="22">
        <v>425400</v>
      </c>
      <c r="Z1864" s="22">
        <v>-3.9458699999999999E-2</v>
      </c>
    </row>
    <row r="1865" spans="19:26" ht="16" x14ac:dyDescent="0.2">
      <c r="S1865" s="23">
        <v>44840</v>
      </c>
      <c r="T1865" s="22">
        <v>33.240001700000001</v>
      </c>
      <c r="U1865" s="22">
        <v>33.409999800000001</v>
      </c>
      <c r="V1865" s="22">
        <v>32.229999499999998</v>
      </c>
      <c r="W1865" s="22">
        <v>32.509998299999999</v>
      </c>
      <c r="X1865" s="22">
        <v>28.990287800000001</v>
      </c>
      <c r="Y1865" s="22">
        <v>492500</v>
      </c>
      <c r="Z1865" s="22">
        <v>-2.51872E-2</v>
      </c>
    </row>
    <row r="1866" spans="19:26" ht="16" x14ac:dyDescent="0.2">
      <c r="S1866" s="23">
        <v>44841</v>
      </c>
      <c r="T1866" s="22">
        <v>32.409999800000001</v>
      </c>
      <c r="U1866" s="22">
        <v>32.459999099999997</v>
      </c>
      <c r="V1866" s="22">
        <v>31.139999400000001</v>
      </c>
      <c r="W1866" s="22">
        <v>31.469999300000001</v>
      </c>
      <c r="X1866" s="22">
        <v>28.0628834</v>
      </c>
      <c r="Y1866" s="22">
        <v>596900</v>
      </c>
      <c r="Z1866" s="22">
        <v>-3.1990200000000003E-2</v>
      </c>
    </row>
    <row r="1867" spans="19:26" ht="16" x14ac:dyDescent="0.2">
      <c r="S1867" s="23">
        <v>44844</v>
      </c>
      <c r="T1867" s="22">
        <v>31.420000099999999</v>
      </c>
      <c r="U1867" s="22">
        <v>31.9899998</v>
      </c>
      <c r="V1867" s="22">
        <v>31.299999199999998</v>
      </c>
      <c r="W1867" s="22">
        <v>31.4300003</v>
      </c>
      <c r="X1867" s="22">
        <v>28.027215999999999</v>
      </c>
      <c r="Y1867" s="22">
        <v>522800</v>
      </c>
      <c r="Z1867" s="22">
        <v>-1.271E-3</v>
      </c>
    </row>
    <row r="1868" spans="19:26" ht="16" x14ac:dyDescent="0.2">
      <c r="S1868" s="23">
        <v>44845</v>
      </c>
      <c r="T1868" s="22">
        <v>31.25</v>
      </c>
      <c r="U1868" s="22">
        <v>32.290000900000003</v>
      </c>
      <c r="V1868" s="22">
        <v>31.25</v>
      </c>
      <c r="W1868" s="22">
        <v>31.909999800000001</v>
      </c>
      <c r="X1868" s="22">
        <v>28.455245999999999</v>
      </c>
      <c r="Y1868" s="22">
        <v>583600</v>
      </c>
      <c r="Z1868" s="22">
        <v>1.5271939999999999E-2</v>
      </c>
    </row>
    <row r="1869" spans="19:26" ht="16" x14ac:dyDescent="0.2">
      <c r="S1869" s="23">
        <v>44846</v>
      </c>
      <c r="T1869" s="22">
        <v>31.979999500000002</v>
      </c>
      <c r="U1869" s="22">
        <v>31.979999500000002</v>
      </c>
      <c r="V1869" s="22">
        <v>30.8799992</v>
      </c>
      <c r="W1869" s="22">
        <v>30.979999500000002</v>
      </c>
      <c r="X1869" s="22">
        <v>27.625930799999999</v>
      </c>
      <c r="Y1869" s="22">
        <v>586500</v>
      </c>
      <c r="Z1869" s="22">
        <v>-2.91445E-2</v>
      </c>
    </row>
    <row r="1870" spans="19:26" ht="16" x14ac:dyDescent="0.2">
      <c r="S1870" s="23">
        <v>44847</v>
      </c>
      <c r="T1870" s="22">
        <v>30.399999600000001</v>
      </c>
      <c r="U1870" s="22">
        <v>31.899999600000001</v>
      </c>
      <c r="V1870" s="22">
        <v>30.1800003</v>
      </c>
      <c r="W1870" s="22">
        <v>31.790000899999999</v>
      </c>
      <c r="X1870" s="22">
        <v>28.348239899999999</v>
      </c>
      <c r="Y1870" s="22">
        <v>857300</v>
      </c>
      <c r="Z1870" s="22">
        <v>2.6146059999999999E-2</v>
      </c>
    </row>
    <row r="1871" spans="19:26" ht="16" x14ac:dyDescent="0.2">
      <c r="S1871" s="23">
        <v>44848</v>
      </c>
      <c r="T1871" s="22">
        <v>31.840000199999999</v>
      </c>
      <c r="U1871" s="22">
        <v>32.270000500000002</v>
      </c>
      <c r="V1871" s="22">
        <v>31.110000599999999</v>
      </c>
      <c r="W1871" s="22">
        <v>31.2600002</v>
      </c>
      <c r="X1871" s="22">
        <v>27.8756199</v>
      </c>
      <c r="Y1871" s="22">
        <v>443300</v>
      </c>
      <c r="Z1871" s="22">
        <v>-1.66719E-2</v>
      </c>
    </row>
    <row r="1872" spans="19:26" ht="16" x14ac:dyDescent="0.2">
      <c r="S1872" s="23">
        <v>44851</v>
      </c>
      <c r="T1872" s="22">
        <v>31.909999800000001</v>
      </c>
      <c r="U1872" s="22">
        <v>32.669998200000002</v>
      </c>
      <c r="V1872" s="22">
        <v>31.860000599999999</v>
      </c>
      <c r="W1872" s="22">
        <v>32.400001500000002</v>
      </c>
      <c r="X1872" s="22">
        <v>28.8921986</v>
      </c>
      <c r="Y1872" s="22">
        <v>683800</v>
      </c>
      <c r="Z1872" s="22">
        <v>3.6468380000000002E-2</v>
      </c>
    </row>
    <row r="1873" spans="19:26" ht="16" x14ac:dyDescent="0.2">
      <c r="S1873" s="23">
        <v>44852</v>
      </c>
      <c r="T1873" s="22">
        <v>32.900001500000002</v>
      </c>
      <c r="U1873" s="22">
        <v>33.509998299999999</v>
      </c>
      <c r="V1873" s="22">
        <v>32.479999499999998</v>
      </c>
      <c r="W1873" s="22">
        <v>32.990001700000001</v>
      </c>
      <c r="X1873" s="22">
        <v>29.4183235</v>
      </c>
      <c r="Y1873" s="22">
        <v>737000</v>
      </c>
      <c r="Z1873" s="22">
        <v>1.8209929999999999E-2</v>
      </c>
    </row>
    <row r="1874" spans="19:26" ht="16" x14ac:dyDescent="0.2">
      <c r="S1874" s="23">
        <v>44853</v>
      </c>
      <c r="T1874" s="22">
        <v>32.450000799999998</v>
      </c>
      <c r="U1874" s="22">
        <v>32.529998800000001</v>
      </c>
      <c r="V1874" s="22">
        <v>31.969999300000001</v>
      </c>
      <c r="W1874" s="22">
        <v>32.419998200000002</v>
      </c>
      <c r="X1874" s="22">
        <v>28.9100304</v>
      </c>
      <c r="Y1874" s="22">
        <v>572700</v>
      </c>
      <c r="Z1874" s="22">
        <v>-1.7278100000000001E-2</v>
      </c>
    </row>
    <row r="1875" spans="19:26" ht="16" x14ac:dyDescent="0.2">
      <c r="S1875" s="23">
        <v>44854</v>
      </c>
      <c r="T1875" s="22">
        <v>32.360000599999999</v>
      </c>
      <c r="U1875" s="22">
        <v>32.509998299999999</v>
      </c>
      <c r="V1875" s="22">
        <v>31.5599995</v>
      </c>
      <c r="W1875" s="22">
        <v>31.6900005</v>
      </c>
      <c r="X1875" s="22">
        <v>28.2590656</v>
      </c>
      <c r="Y1875" s="22">
        <v>575600</v>
      </c>
      <c r="Z1875" s="22">
        <v>-2.2516899999999999E-2</v>
      </c>
    </row>
    <row r="1876" spans="19:26" ht="16" x14ac:dyDescent="0.2">
      <c r="S1876" s="23">
        <v>44855</v>
      </c>
      <c r="T1876" s="22">
        <v>31.920000099999999</v>
      </c>
      <c r="U1876" s="22">
        <v>32.349998499999998</v>
      </c>
      <c r="V1876" s="22">
        <v>31.579999900000001</v>
      </c>
      <c r="W1876" s="22">
        <v>31.9400005</v>
      </c>
      <c r="X1876" s="22">
        <v>28.481998399999998</v>
      </c>
      <c r="Y1876" s="22">
        <v>1481500</v>
      </c>
      <c r="Z1876" s="22">
        <v>7.8889000000000008E-3</v>
      </c>
    </row>
    <row r="1877" spans="19:26" ht="16" x14ac:dyDescent="0.2">
      <c r="S1877" s="23">
        <v>44858</v>
      </c>
      <c r="T1877" s="22">
        <v>32.349998499999998</v>
      </c>
      <c r="U1877" s="22">
        <v>32.970001199999999</v>
      </c>
      <c r="V1877" s="22">
        <v>31.9899998</v>
      </c>
      <c r="W1877" s="22">
        <v>32.400001500000002</v>
      </c>
      <c r="X1877" s="22">
        <v>28.8921986</v>
      </c>
      <c r="Y1877" s="22">
        <v>472500</v>
      </c>
      <c r="Z1877" s="22">
        <v>1.4402079999999999E-2</v>
      </c>
    </row>
    <row r="1878" spans="19:26" ht="16" x14ac:dyDescent="0.2">
      <c r="S1878" s="23">
        <v>44859</v>
      </c>
      <c r="T1878" s="22">
        <v>32.409999800000001</v>
      </c>
      <c r="U1878" s="22">
        <v>33.520000500000002</v>
      </c>
      <c r="V1878" s="22">
        <v>32.220001199999999</v>
      </c>
      <c r="W1878" s="22">
        <v>33.319999699999997</v>
      </c>
      <c r="X1878" s="22">
        <v>29.712591199999999</v>
      </c>
      <c r="Y1878" s="22">
        <v>500600</v>
      </c>
      <c r="Z1878" s="22">
        <v>2.8394949999999999E-2</v>
      </c>
    </row>
    <row r="1879" spans="19:26" ht="16" x14ac:dyDescent="0.2">
      <c r="S1879" s="23">
        <v>44860</v>
      </c>
      <c r="T1879" s="22">
        <v>33.650001500000002</v>
      </c>
      <c r="U1879" s="22">
        <v>33.869998899999999</v>
      </c>
      <c r="V1879" s="22">
        <v>33.150001500000002</v>
      </c>
      <c r="W1879" s="22">
        <v>33.590000199999999</v>
      </c>
      <c r="X1879" s="22">
        <v>29.953359599999999</v>
      </c>
      <c r="Y1879" s="22">
        <v>372200</v>
      </c>
      <c r="Z1879" s="22">
        <v>8.1032499999999993E-3</v>
      </c>
    </row>
    <row r="1880" spans="19:26" ht="16" x14ac:dyDescent="0.2">
      <c r="S1880" s="23">
        <v>44861</v>
      </c>
      <c r="T1880" s="22">
        <v>33.930000300000003</v>
      </c>
      <c r="U1880" s="22">
        <v>34.599998499999998</v>
      </c>
      <c r="V1880" s="22">
        <v>33.869998899999999</v>
      </c>
      <c r="W1880" s="22">
        <v>34.259998299999999</v>
      </c>
      <c r="X1880" s="22">
        <v>30.550819400000002</v>
      </c>
      <c r="Y1880" s="22">
        <v>774300</v>
      </c>
      <c r="Z1880" s="22">
        <v>1.994634E-2</v>
      </c>
    </row>
    <row r="1881" spans="19:26" ht="16" x14ac:dyDescent="0.2">
      <c r="S1881" s="23">
        <v>44862</v>
      </c>
      <c r="T1881" s="22">
        <v>34.490001700000001</v>
      </c>
      <c r="U1881" s="22">
        <v>35.069999699999997</v>
      </c>
      <c r="V1881" s="22">
        <v>34.299999200000002</v>
      </c>
      <c r="W1881" s="22">
        <v>34.970001199999999</v>
      </c>
      <c r="X1881" s="22">
        <v>31.1839561</v>
      </c>
      <c r="Y1881" s="22">
        <v>618800</v>
      </c>
      <c r="Z1881" s="22">
        <v>2.0724050000000001E-2</v>
      </c>
    </row>
    <row r="1882" spans="19:26" ht="16" x14ac:dyDescent="0.2">
      <c r="S1882" s="23">
        <v>44865</v>
      </c>
      <c r="T1882" s="22">
        <v>34.700000799999998</v>
      </c>
      <c r="U1882" s="22">
        <v>35.049999200000002</v>
      </c>
      <c r="V1882" s="22">
        <v>34.380001100000001</v>
      </c>
      <c r="W1882" s="22">
        <v>34.740001700000001</v>
      </c>
      <c r="X1882" s="22">
        <v>30.978857000000001</v>
      </c>
      <c r="Y1882" s="22">
        <v>524800</v>
      </c>
      <c r="Z1882" s="22">
        <v>-6.5770999999999998E-3</v>
      </c>
    </row>
    <row r="1883" spans="19:26" ht="16" x14ac:dyDescent="0.2">
      <c r="S1883" s="23">
        <v>44866</v>
      </c>
      <c r="T1883" s="22">
        <v>35.020000500000002</v>
      </c>
      <c r="U1883" s="22">
        <v>35.110000599999999</v>
      </c>
      <c r="V1883" s="22">
        <v>34.650001500000002</v>
      </c>
      <c r="W1883" s="22">
        <v>35.040000900000003</v>
      </c>
      <c r="X1883" s="22">
        <v>31.246374100000001</v>
      </c>
      <c r="Y1883" s="22">
        <v>386900</v>
      </c>
      <c r="Z1883" s="22">
        <v>8.6354699999999993E-3</v>
      </c>
    </row>
    <row r="1884" spans="19:26" ht="16" x14ac:dyDescent="0.2">
      <c r="S1884" s="23">
        <v>44867</v>
      </c>
      <c r="T1884" s="22">
        <v>34.610000599999999</v>
      </c>
      <c r="U1884" s="22">
        <v>35.979999499999998</v>
      </c>
      <c r="V1884" s="22">
        <v>34.330001799999998</v>
      </c>
      <c r="W1884" s="22">
        <v>34.909999800000001</v>
      </c>
      <c r="X1884" s="22">
        <v>31.1304436</v>
      </c>
      <c r="Y1884" s="22">
        <v>618600</v>
      </c>
      <c r="Z1884" s="22">
        <v>-3.7101999999999999E-3</v>
      </c>
    </row>
    <row r="1885" spans="19:26" ht="16" x14ac:dyDescent="0.2">
      <c r="S1885" s="23">
        <v>44868</v>
      </c>
      <c r="T1885" s="22">
        <v>34.479999499999998</v>
      </c>
      <c r="U1885" s="22">
        <v>35.479999499999998</v>
      </c>
      <c r="V1885" s="22">
        <v>34.240001700000001</v>
      </c>
      <c r="W1885" s="22">
        <v>35.310001399999997</v>
      </c>
      <c r="X1885" s="22">
        <v>31.487144499999999</v>
      </c>
      <c r="Y1885" s="22">
        <v>596700</v>
      </c>
      <c r="Z1885" s="22">
        <v>1.145827E-2</v>
      </c>
    </row>
    <row r="1886" spans="19:26" ht="16" x14ac:dyDescent="0.2">
      <c r="S1886" s="23">
        <v>44869</v>
      </c>
      <c r="T1886" s="22">
        <v>35.720001199999999</v>
      </c>
      <c r="U1886" s="22">
        <v>36.389999400000001</v>
      </c>
      <c r="V1886" s="22">
        <v>35.349998499999998</v>
      </c>
      <c r="W1886" s="22">
        <v>35.740001700000001</v>
      </c>
      <c r="X1886" s="22">
        <v>31.870594000000001</v>
      </c>
      <c r="Y1886" s="22">
        <v>547100</v>
      </c>
      <c r="Z1886" s="22">
        <v>1.217797E-2</v>
      </c>
    </row>
    <row r="1887" spans="19:26" ht="16" x14ac:dyDescent="0.2">
      <c r="S1887" s="23">
        <v>44872</v>
      </c>
      <c r="T1887" s="22">
        <v>35.799999200000002</v>
      </c>
      <c r="U1887" s="22">
        <v>36</v>
      </c>
      <c r="V1887" s="22">
        <v>34.369998899999999</v>
      </c>
      <c r="W1887" s="22">
        <v>35.040000900000003</v>
      </c>
      <c r="X1887" s="22">
        <v>31.246374100000001</v>
      </c>
      <c r="Y1887" s="22">
        <v>460500</v>
      </c>
      <c r="Z1887" s="22">
        <v>-1.9586099999999999E-2</v>
      </c>
    </row>
    <row r="1888" spans="19:26" ht="16" x14ac:dyDescent="0.2">
      <c r="S1888" s="23">
        <v>44873</v>
      </c>
      <c r="T1888" s="22">
        <v>35.169998200000002</v>
      </c>
      <c r="U1888" s="22">
        <v>35.669998200000002</v>
      </c>
      <c r="V1888" s="22">
        <v>34.869998899999999</v>
      </c>
      <c r="W1888" s="22">
        <v>35.240001700000001</v>
      </c>
      <c r="X1888" s="22">
        <v>31.424718899999998</v>
      </c>
      <c r="Y1888" s="22">
        <v>445800</v>
      </c>
      <c r="Z1888" s="22">
        <v>5.7076899999999996E-3</v>
      </c>
    </row>
    <row r="1889" spans="19:26" ht="16" x14ac:dyDescent="0.2">
      <c r="S1889" s="23">
        <v>44874</v>
      </c>
      <c r="T1889" s="22">
        <v>34.909999800000001</v>
      </c>
      <c r="U1889" s="22">
        <v>35.389999400000001</v>
      </c>
      <c r="V1889" s="22">
        <v>34.709999099999997</v>
      </c>
      <c r="W1889" s="22">
        <v>35.069999699999997</v>
      </c>
      <c r="X1889" s="22">
        <v>31.273128499999999</v>
      </c>
      <c r="Y1889" s="22">
        <v>360200</v>
      </c>
      <c r="Z1889" s="22">
        <v>-4.8238999999999999E-3</v>
      </c>
    </row>
    <row r="1890" spans="19:26" ht="16" x14ac:dyDescent="0.2">
      <c r="S1890" s="23">
        <v>44875</v>
      </c>
      <c r="T1890" s="22">
        <v>36.150001500000002</v>
      </c>
      <c r="U1890" s="22">
        <v>36.569999699999997</v>
      </c>
      <c r="V1890" s="22">
        <v>35.580001799999998</v>
      </c>
      <c r="W1890" s="22">
        <v>36.040000900000003</v>
      </c>
      <c r="X1890" s="22">
        <v>32.138111100000003</v>
      </c>
      <c r="Y1890" s="22">
        <v>582200</v>
      </c>
      <c r="Z1890" s="22">
        <v>2.7658970000000001E-2</v>
      </c>
    </row>
    <row r="1891" spans="19:26" ht="16" x14ac:dyDescent="0.2">
      <c r="S1891" s="23">
        <v>44876</v>
      </c>
      <c r="T1891" s="22">
        <v>35.840000199999999</v>
      </c>
      <c r="U1891" s="22">
        <v>36.25</v>
      </c>
      <c r="V1891" s="22">
        <v>34.840000199999999</v>
      </c>
      <c r="W1891" s="22">
        <v>34.959999099999997</v>
      </c>
      <c r="X1891" s="22">
        <v>31.175031700000002</v>
      </c>
      <c r="Y1891" s="22">
        <v>515800</v>
      </c>
      <c r="Z1891" s="22">
        <v>-2.9966900000000001E-2</v>
      </c>
    </row>
    <row r="1892" spans="19:26" ht="16" x14ac:dyDescent="0.2">
      <c r="S1892" s="23">
        <v>44879</v>
      </c>
      <c r="T1892" s="22">
        <v>35.049999200000002</v>
      </c>
      <c r="U1892" s="22">
        <v>35.619998899999999</v>
      </c>
      <c r="V1892" s="22">
        <v>34.590000199999999</v>
      </c>
      <c r="W1892" s="22">
        <v>35.099998499999998</v>
      </c>
      <c r="X1892" s="22">
        <v>31.299877200000001</v>
      </c>
      <c r="Y1892" s="22">
        <v>655500</v>
      </c>
      <c r="Z1892" s="22">
        <v>4.0046600000000002E-3</v>
      </c>
    </row>
    <row r="1893" spans="19:26" ht="16" x14ac:dyDescent="0.2">
      <c r="S1893" s="23">
        <v>44880</v>
      </c>
      <c r="T1893" s="22">
        <v>35.529998800000001</v>
      </c>
      <c r="U1893" s="22">
        <v>35.720001199999999</v>
      </c>
      <c r="V1893" s="22">
        <v>34.830001799999998</v>
      </c>
      <c r="W1893" s="22">
        <v>35.189998600000003</v>
      </c>
      <c r="X1893" s="22">
        <v>31.380132700000001</v>
      </c>
      <c r="Y1893" s="22">
        <v>476700</v>
      </c>
      <c r="Z1893" s="22">
        <v>2.5640799999999998E-3</v>
      </c>
    </row>
    <row r="1894" spans="19:26" ht="16" x14ac:dyDescent="0.2">
      <c r="S1894" s="23">
        <v>44881</v>
      </c>
      <c r="T1894" s="22">
        <v>35.189998600000003</v>
      </c>
      <c r="U1894" s="22">
        <v>35.799999200000002</v>
      </c>
      <c r="V1894" s="22">
        <v>34.909999800000001</v>
      </c>
      <c r="W1894" s="22">
        <v>35.659999800000001</v>
      </c>
      <c r="X1894" s="22">
        <v>31.799247699999999</v>
      </c>
      <c r="Y1894" s="22">
        <v>543800</v>
      </c>
      <c r="Z1894" s="22">
        <v>1.3356059999999999E-2</v>
      </c>
    </row>
    <row r="1895" spans="19:26" ht="16" x14ac:dyDescent="0.2">
      <c r="S1895" s="23">
        <v>44882</v>
      </c>
      <c r="T1895" s="22">
        <v>35.209999099999997</v>
      </c>
      <c r="U1895" s="22">
        <v>35.209999099999997</v>
      </c>
      <c r="V1895" s="22">
        <v>34.549999200000002</v>
      </c>
      <c r="W1895" s="22">
        <v>35.029998800000001</v>
      </c>
      <c r="X1895" s="22">
        <v>31.237455400000002</v>
      </c>
      <c r="Y1895" s="22">
        <v>583100</v>
      </c>
      <c r="Z1895" s="22">
        <v>-1.76668E-2</v>
      </c>
    </row>
    <row r="1896" spans="19:26" ht="16" x14ac:dyDescent="0.2">
      <c r="S1896" s="23">
        <v>44883</v>
      </c>
      <c r="T1896" s="22">
        <v>35.400001500000002</v>
      </c>
      <c r="U1896" s="22">
        <v>35.610000599999999</v>
      </c>
      <c r="V1896" s="22">
        <v>34.349998499999998</v>
      </c>
      <c r="W1896" s="22">
        <v>35.159999800000001</v>
      </c>
      <c r="X1896" s="22">
        <v>31.353389700000001</v>
      </c>
      <c r="Y1896" s="22">
        <v>594400</v>
      </c>
      <c r="Z1896" s="22">
        <v>3.7113900000000002E-3</v>
      </c>
    </row>
    <row r="1897" spans="19:26" ht="16" x14ac:dyDescent="0.2">
      <c r="S1897" s="23">
        <v>44886</v>
      </c>
      <c r="T1897" s="22">
        <v>35.450000799999998</v>
      </c>
      <c r="U1897" s="22">
        <v>35.590000199999999</v>
      </c>
      <c r="V1897" s="22">
        <v>34.959999099999997</v>
      </c>
      <c r="W1897" s="22">
        <v>35.279998800000001</v>
      </c>
      <c r="X1897" s="22">
        <v>31.460390100000001</v>
      </c>
      <c r="Y1897" s="22">
        <v>423000</v>
      </c>
      <c r="Z1897" s="22">
        <v>3.4127200000000002E-3</v>
      </c>
    </row>
    <row r="1898" spans="19:26" ht="16" x14ac:dyDescent="0.2">
      <c r="S1898" s="23">
        <v>44887</v>
      </c>
      <c r="T1898" s="22">
        <v>35.540000900000003</v>
      </c>
      <c r="U1898" s="22">
        <v>36.069999699999997</v>
      </c>
      <c r="V1898" s="22">
        <v>35.430000300000003</v>
      </c>
      <c r="W1898" s="22">
        <v>36.060001399999997</v>
      </c>
      <c r="X1898" s="22">
        <v>32.1559448</v>
      </c>
      <c r="Y1898" s="22">
        <v>588900</v>
      </c>
      <c r="Z1898" s="22">
        <v>2.2108900000000001E-2</v>
      </c>
    </row>
    <row r="1899" spans="19:26" ht="16" x14ac:dyDescent="0.2">
      <c r="S1899" s="23">
        <v>44888</v>
      </c>
      <c r="T1899" s="22">
        <v>36.090000199999999</v>
      </c>
      <c r="U1899" s="22">
        <v>36.090000199999999</v>
      </c>
      <c r="V1899" s="22">
        <v>35.5</v>
      </c>
      <c r="W1899" s="22">
        <v>35.869998899999999</v>
      </c>
      <c r="X1899" s="22">
        <v>31.986515000000001</v>
      </c>
      <c r="Y1899" s="22">
        <v>333300</v>
      </c>
      <c r="Z1899" s="22">
        <v>-5.2690000000000002E-3</v>
      </c>
    </row>
    <row r="1900" spans="19:26" ht="16" x14ac:dyDescent="0.2">
      <c r="S1900" s="23">
        <v>44890</v>
      </c>
      <c r="T1900" s="22">
        <v>35.819999699999997</v>
      </c>
      <c r="U1900" s="22">
        <v>36.25</v>
      </c>
      <c r="V1900" s="22">
        <v>35.819999699999997</v>
      </c>
      <c r="W1900" s="22">
        <v>36.020000500000002</v>
      </c>
      <c r="X1900" s="22">
        <v>32.120277399999999</v>
      </c>
      <c r="Y1900" s="22">
        <v>177700</v>
      </c>
      <c r="Z1900" s="22">
        <v>4.18184E-3</v>
      </c>
    </row>
    <row r="1901" spans="19:26" ht="16" x14ac:dyDescent="0.2">
      <c r="S1901" s="23">
        <v>44893</v>
      </c>
      <c r="T1901" s="22">
        <v>35.729999499999998</v>
      </c>
      <c r="U1901" s="22">
        <v>35.930000300000003</v>
      </c>
      <c r="V1901" s="22">
        <v>35.299999200000002</v>
      </c>
      <c r="W1901" s="22">
        <v>35.549999200000002</v>
      </c>
      <c r="X1901" s="22">
        <v>31.701156600000001</v>
      </c>
      <c r="Y1901" s="22">
        <v>388000</v>
      </c>
      <c r="Z1901" s="22">
        <v>-1.3048499999999999E-2</v>
      </c>
    </row>
    <row r="1902" spans="19:26" ht="16" x14ac:dyDescent="0.2">
      <c r="S1902" s="23">
        <v>44894</v>
      </c>
      <c r="T1902" s="22">
        <v>35.5</v>
      </c>
      <c r="U1902" s="22">
        <v>35.919998200000002</v>
      </c>
      <c r="V1902" s="22">
        <v>35.229999499999998</v>
      </c>
      <c r="W1902" s="22">
        <v>35.369998899999999</v>
      </c>
      <c r="X1902" s="22">
        <v>31.540647499999999</v>
      </c>
      <c r="Y1902" s="22">
        <v>380600</v>
      </c>
      <c r="Z1902" s="22">
        <v>-5.0632000000000003E-3</v>
      </c>
    </row>
    <row r="1903" spans="19:26" ht="16" x14ac:dyDescent="0.2">
      <c r="S1903" s="23">
        <v>44895</v>
      </c>
      <c r="T1903" s="22">
        <v>34.889999400000001</v>
      </c>
      <c r="U1903" s="22">
        <v>35.560001399999997</v>
      </c>
      <c r="V1903" s="22">
        <v>34.270000500000002</v>
      </c>
      <c r="W1903" s="22">
        <v>35.439998600000003</v>
      </c>
      <c r="X1903" s="22">
        <v>31.934419599999998</v>
      </c>
      <c r="Y1903" s="22">
        <v>866000</v>
      </c>
      <c r="Z1903" s="22">
        <v>1.248459E-2</v>
      </c>
    </row>
    <row r="1904" spans="19:26" ht="16" x14ac:dyDescent="0.2">
      <c r="S1904" s="23">
        <v>44896</v>
      </c>
      <c r="T1904" s="22">
        <v>35.939998600000003</v>
      </c>
      <c r="U1904" s="22">
        <v>36.139999400000001</v>
      </c>
      <c r="V1904" s="22">
        <v>34.919998200000002</v>
      </c>
      <c r="W1904" s="22">
        <v>35</v>
      </c>
      <c r="X1904" s="22">
        <v>31.537946699999999</v>
      </c>
      <c r="Y1904" s="22">
        <v>408100</v>
      </c>
      <c r="Z1904" s="22">
        <v>-1.24152E-2</v>
      </c>
    </row>
    <row r="1905" spans="19:26" ht="16" x14ac:dyDescent="0.2">
      <c r="S1905" s="23">
        <v>44897</v>
      </c>
      <c r="T1905" s="22">
        <v>34.619998899999999</v>
      </c>
      <c r="U1905" s="22">
        <v>35.189998600000003</v>
      </c>
      <c r="V1905" s="22">
        <v>34.369998899999999</v>
      </c>
      <c r="W1905" s="22">
        <v>34.880001100000001</v>
      </c>
      <c r="X1905" s="22">
        <v>31.429817199999999</v>
      </c>
      <c r="Y1905" s="22">
        <v>530900</v>
      </c>
      <c r="Z1905" s="22">
        <v>-3.4286E-3</v>
      </c>
    </row>
    <row r="1906" spans="19:26" ht="16" x14ac:dyDescent="0.2">
      <c r="S1906" s="23">
        <v>44900</v>
      </c>
      <c r="T1906" s="22">
        <v>34.630001100000001</v>
      </c>
      <c r="U1906" s="22">
        <v>34.650001500000002</v>
      </c>
      <c r="V1906" s="22">
        <v>33.930000300000003</v>
      </c>
      <c r="W1906" s="22">
        <v>34.159999800000001</v>
      </c>
      <c r="X1906" s="22">
        <v>30.7810287</v>
      </c>
      <c r="Y1906" s="22">
        <v>572200</v>
      </c>
      <c r="Z1906" s="22">
        <v>-2.0642500000000001E-2</v>
      </c>
    </row>
    <row r="1907" spans="19:26" ht="16" x14ac:dyDescent="0.2">
      <c r="S1907" s="23">
        <v>44901</v>
      </c>
      <c r="T1907" s="22">
        <v>34.029998800000001</v>
      </c>
      <c r="U1907" s="22">
        <v>34.150001500000002</v>
      </c>
      <c r="V1907" s="22">
        <v>33.299999200000002</v>
      </c>
      <c r="W1907" s="22">
        <v>33.689998600000003</v>
      </c>
      <c r="X1907" s="22">
        <v>30.357519100000001</v>
      </c>
      <c r="Y1907" s="22">
        <v>477900</v>
      </c>
      <c r="Z1907" s="22">
        <v>-1.37588E-2</v>
      </c>
    </row>
    <row r="1908" spans="19:26" ht="16" x14ac:dyDescent="0.2">
      <c r="S1908" s="23">
        <v>44902</v>
      </c>
      <c r="T1908" s="22">
        <v>33.650001500000002</v>
      </c>
      <c r="U1908" s="22">
        <v>34.25</v>
      </c>
      <c r="V1908" s="22">
        <v>33.490001700000001</v>
      </c>
      <c r="W1908" s="22">
        <v>33.720001199999999</v>
      </c>
      <c r="X1908" s="22">
        <v>30.384559599999999</v>
      </c>
      <c r="Y1908" s="22">
        <v>486500</v>
      </c>
      <c r="Z1908" s="22">
        <v>8.9072999999999995E-4</v>
      </c>
    </row>
    <row r="1909" spans="19:26" ht="16" x14ac:dyDescent="0.2">
      <c r="S1909" s="23">
        <v>44903</v>
      </c>
      <c r="T1909" s="22">
        <v>33.819999699999997</v>
      </c>
      <c r="U1909" s="22">
        <v>33.880001100000001</v>
      </c>
      <c r="V1909" s="22">
        <v>32.720001199999999</v>
      </c>
      <c r="W1909" s="22">
        <v>33.099998499999998</v>
      </c>
      <c r="X1909" s="22">
        <v>29.825882</v>
      </c>
      <c r="Y1909" s="22">
        <v>713600</v>
      </c>
      <c r="Z1909" s="22">
        <v>-1.8386900000000001E-2</v>
      </c>
    </row>
    <row r="1910" spans="19:26" ht="16" x14ac:dyDescent="0.2">
      <c r="S1910" s="23">
        <v>44904</v>
      </c>
      <c r="T1910" s="22">
        <v>33.009998299999999</v>
      </c>
      <c r="U1910" s="22">
        <v>33.220001199999999</v>
      </c>
      <c r="V1910" s="22">
        <v>32.680000300000003</v>
      </c>
      <c r="W1910" s="22">
        <v>32.979999499999998</v>
      </c>
      <c r="X1910" s="22">
        <v>29.7177525</v>
      </c>
      <c r="Y1910" s="22">
        <v>692300</v>
      </c>
      <c r="Z1910" s="22">
        <v>-3.6254E-3</v>
      </c>
    </row>
    <row r="1911" spans="19:26" ht="16" x14ac:dyDescent="0.2">
      <c r="S1911" s="23">
        <v>44907</v>
      </c>
      <c r="T1911" s="22">
        <v>33.119998899999999</v>
      </c>
      <c r="U1911" s="22">
        <v>34.299999200000002</v>
      </c>
      <c r="V1911" s="22">
        <v>32.979999499999998</v>
      </c>
      <c r="W1911" s="22">
        <v>33.290000900000003</v>
      </c>
      <c r="X1911" s="22">
        <v>29.997091300000001</v>
      </c>
      <c r="Y1911" s="22">
        <v>588400</v>
      </c>
      <c r="Z1911" s="22">
        <v>9.3997300000000002E-3</v>
      </c>
    </row>
    <row r="1912" spans="19:26" ht="16" x14ac:dyDescent="0.2">
      <c r="S1912" s="23">
        <v>44908</v>
      </c>
      <c r="T1912" s="22">
        <v>33.950000799999998</v>
      </c>
      <c r="U1912" s="22">
        <v>34.549999200000002</v>
      </c>
      <c r="V1912" s="22">
        <v>33.569999699999997</v>
      </c>
      <c r="W1912" s="22">
        <v>33.880001100000001</v>
      </c>
      <c r="X1912" s="22">
        <v>30.528732300000001</v>
      </c>
      <c r="Y1912" s="22">
        <v>640000</v>
      </c>
      <c r="Z1912" s="22">
        <v>1.772309E-2</v>
      </c>
    </row>
    <row r="1913" spans="19:26" ht="16" x14ac:dyDescent="0.2">
      <c r="S1913" s="23">
        <v>44909</v>
      </c>
      <c r="T1913" s="22">
        <v>33.930000300000003</v>
      </c>
      <c r="U1913" s="22">
        <v>34.349998499999998</v>
      </c>
      <c r="V1913" s="22">
        <v>33.630001100000001</v>
      </c>
      <c r="W1913" s="22">
        <v>33.810001399999997</v>
      </c>
      <c r="X1913" s="22">
        <v>30.465654399999998</v>
      </c>
      <c r="Y1913" s="22">
        <v>484200</v>
      </c>
      <c r="Z1913" s="22">
        <v>-2.0661999999999998E-3</v>
      </c>
    </row>
    <row r="1914" spans="19:26" ht="16" x14ac:dyDescent="0.2">
      <c r="S1914" s="23">
        <v>44910</v>
      </c>
      <c r="T1914" s="22">
        <v>33.650001500000002</v>
      </c>
      <c r="U1914" s="22">
        <v>33.779998800000001</v>
      </c>
      <c r="V1914" s="22">
        <v>32.790000900000003</v>
      </c>
      <c r="W1914" s="22">
        <v>32.869998899999999</v>
      </c>
      <c r="X1914" s="22">
        <v>29.618637100000001</v>
      </c>
      <c r="Y1914" s="22">
        <v>526400</v>
      </c>
      <c r="Z1914" s="22">
        <v>-2.7802400000000001E-2</v>
      </c>
    </row>
    <row r="1915" spans="19:26" ht="16" x14ac:dyDescent="0.2">
      <c r="S1915" s="23">
        <v>44911</v>
      </c>
      <c r="T1915" s="22">
        <v>32.450000799999998</v>
      </c>
      <c r="U1915" s="22">
        <v>32.799999200000002</v>
      </c>
      <c r="V1915" s="22">
        <v>32.080001799999998</v>
      </c>
      <c r="W1915" s="22">
        <v>32.509998299999999</v>
      </c>
      <c r="X1915" s="22">
        <v>29.294244800000001</v>
      </c>
      <c r="Y1915" s="22">
        <v>1076500</v>
      </c>
      <c r="Z1915" s="22">
        <v>-1.09523E-2</v>
      </c>
    </row>
    <row r="1916" spans="19:26" ht="16" x14ac:dyDescent="0.2">
      <c r="S1916" s="23">
        <v>44914</v>
      </c>
      <c r="T1916" s="22">
        <v>32.599998499999998</v>
      </c>
      <c r="U1916" s="22">
        <v>32.709999099999997</v>
      </c>
      <c r="V1916" s="22">
        <v>31.700000800000002</v>
      </c>
      <c r="W1916" s="22">
        <v>32.009998299999999</v>
      </c>
      <c r="X1916" s="22">
        <v>28.8437023</v>
      </c>
      <c r="Y1916" s="22">
        <v>415200</v>
      </c>
      <c r="Z1916" s="22">
        <v>-1.53799E-2</v>
      </c>
    </row>
    <row r="1917" spans="19:26" ht="16" x14ac:dyDescent="0.2">
      <c r="S1917" s="23">
        <v>44915</v>
      </c>
      <c r="T1917" s="22">
        <v>31.959999100000001</v>
      </c>
      <c r="U1917" s="22">
        <v>32.5</v>
      </c>
      <c r="V1917" s="22">
        <v>31.549999199999998</v>
      </c>
      <c r="W1917" s="22">
        <v>32.340000199999999</v>
      </c>
      <c r="X1917" s="22">
        <v>29.141059899999998</v>
      </c>
      <c r="Y1917" s="22">
        <v>435800</v>
      </c>
      <c r="Z1917" s="22">
        <v>1.0309270000000001E-2</v>
      </c>
    </row>
    <row r="1918" spans="19:26" ht="16" x14ac:dyDescent="0.2">
      <c r="S1918" s="23">
        <v>44916</v>
      </c>
      <c r="T1918" s="22">
        <v>32.580001799999998</v>
      </c>
      <c r="U1918" s="22">
        <v>32.680000300000003</v>
      </c>
      <c r="V1918" s="22">
        <v>32.349998499999998</v>
      </c>
      <c r="W1918" s="22">
        <v>32.590000199999999</v>
      </c>
      <c r="X1918" s="22">
        <v>29.366333000000001</v>
      </c>
      <c r="Y1918" s="22">
        <v>454000</v>
      </c>
      <c r="Z1918" s="22">
        <v>7.7304399999999999E-3</v>
      </c>
    </row>
    <row r="1919" spans="19:26" ht="16" x14ac:dyDescent="0.2">
      <c r="S1919" s="23">
        <v>44917</v>
      </c>
      <c r="T1919" s="22">
        <v>32.259998299999999</v>
      </c>
      <c r="U1919" s="22">
        <v>32.270000500000002</v>
      </c>
      <c r="V1919" s="22">
        <v>31.4899998</v>
      </c>
      <c r="W1919" s="22">
        <v>31.979999500000002</v>
      </c>
      <c r="X1919" s="22">
        <v>28.816671400000001</v>
      </c>
      <c r="Y1919" s="22">
        <v>644300</v>
      </c>
      <c r="Z1919" s="22">
        <v>-1.8717399999999999E-2</v>
      </c>
    </row>
    <row r="1920" spans="19:26" ht="16" x14ac:dyDescent="0.2">
      <c r="S1920" s="23">
        <v>44918</v>
      </c>
      <c r="T1920" s="22">
        <v>31.9400005</v>
      </c>
      <c r="U1920" s="22">
        <v>32.119998899999999</v>
      </c>
      <c r="V1920" s="22">
        <v>31.8199997</v>
      </c>
      <c r="W1920" s="22">
        <v>31.979999500000002</v>
      </c>
      <c r="X1920" s="22">
        <v>28.816671400000001</v>
      </c>
      <c r="Y1920" s="22">
        <v>404600</v>
      </c>
      <c r="Z1920" s="22">
        <v>0</v>
      </c>
    </row>
    <row r="1921" spans="19:26" ht="16" x14ac:dyDescent="0.2">
      <c r="S1921" s="23">
        <v>44922</v>
      </c>
      <c r="T1921" s="22">
        <v>31.979999500000002</v>
      </c>
      <c r="U1921" s="22">
        <v>32.119998899999999</v>
      </c>
      <c r="V1921" s="22">
        <v>31.729999500000002</v>
      </c>
      <c r="W1921" s="22">
        <v>32.040000900000003</v>
      </c>
      <c r="X1921" s="22">
        <v>28.870737099999999</v>
      </c>
      <c r="Y1921" s="22">
        <v>478400</v>
      </c>
      <c r="Z1921" s="22">
        <v>1.8762E-3</v>
      </c>
    </row>
    <row r="1922" spans="19:26" ht="16" x14ac:dyDescent="0.2">
      <c r="S1922" s="23">
        <v>44923</v>
      </c>
      <c r="T1922" s="22">
        <v>32.099998499999998</v>
      </c>
      <c r="U1922" s="22">
        <v>32.189998600000003</v>
      </c>
      <c r="V1922" s="22">
        <v>31.4899998</v>
      </c>
      <c r="W1922" s="22">
        <v>31.579999900000001</v>
      </c>
      <c r="X1922" s="22">
        <v>28.456233999999998</v>
      </c>
      <c r="Y1922" s="22">
        <v>475100</v>
      </c>
      <c r="Z1922" s="22">
        <v>-1.4357200000000001E-2</v>
      </c>
    </row>
    <row r="1923" spans="19:26" ht="16" x14ac:dyDescent="0.2">
      <c r="S1923" s="23">
        <v>44924</v>
      </c>
      <c r="T1923" s="22">
        <v>31.850000399999999</v>
      </c>
      <c r="U1923" s="22">
        <v>32.020000500000002</v>
      </c>
      <c r="V1923" s="22">
        <v>31.6299992</v>
      </c>
      <c r="W1923" s="22">
        <v>31.9400005</v>
      </c>
      <c r="X1923" s="22">
        <v>28.7806301</v>
      </c>
      <c r="Y1923" s="22">
        <v>686600</v>
      </c>
      <c r="Z1923" s="22">
        <v>1.139983E-2</v>
      </c>
    </row>
    <row r="1924" spans="19:26" ht="16" x14ac:dyDescent="0.2">
      <c r="S1924" s="23">
        <v>44925</v>
      </c>
      <c r="T1924" s="22">
        <v>31.8099995</v>
      </c>
      <c r="U1924" s="22">
        <v>31.959999100000001</v>
      </c>
      <c r="V1924" s="22">
        <v>31.600000399999999</v>
      </c>
      <c r="W1924" s="22">
        <v>31.8700008</v>
      </c>
      <c r="X1924" s="22">
        <v>28.7175522</v>
      </c>
      <c r="Y1924" s="22">
        <v>469500</v>
      </c>
      <c r="Z1924" s="22">
        <v>-2.1917E-3</v>
      </c>
    </row>
    <row r="1925" spans="19:26" ht="16" x14ac:dyDescent="0.2">
      <c r="S1925" s="23">
        <v>44929</v>
      </c>
      <c r="T1925" s="22">
        <v>32.159999800000001</v>
      </c>
      <c r="U1925" s="22">
        <v>32.389999400000001</v>
      </c>
      <c r="V1925" s="22">
        <v>31.649999600000001</v>
      </c>
      <c r="W1925" s="22">
        <v>32.029998800000001</v>
      </c>
      <c r="X1925" s="22">
        <v>28.8617229</v>
      </c>
      <c r="Y1925" s="22">
        <v>582400</v>
      </c>
      <c r="Z1925" s="22">
        <v>5.0203000000000001E-3</v>
      </c>
    </row>
    <row r="1926" spans="19:26" ht="16" x14ac:dyDescent="0.2">
      <c r="S1926" s="23">
        <v>44930</v>
      </c>
      <c r="T1926" s="22">
        <v>32.310001399999997</v>
      </c>
      <c r="U1926" s="22">
        <v>32.580001799999998</v>
      </c>
      <c r="V1926" s="22">
        <v>31.719999300000001</v>
      </c>
      <c r="W1926" s="22">
        <v>32.029998800000001</v>
      </c>
      <c r="X1926" s="22">
        <v>28.8617229</v>
      </c>
      <c r="Y1926" s="22">
        <v>742600</v>
      </c>
      <c r="Z1926" s="22">
        <v>0</v>
      </c>
    </row>
    <row r="1927" spans="19:26" ht="16" x14ac:dyDescent="0.2">
      <c r="S1927" s="23">
        <v>44931</v>
      </c>
      <c r="T1927" s="22">
        <v>31.899999600000001</v>
      </c>
      <c r="U1927" s="22">
        <v>32.009998299999999</v>
      </c>
      <c r="V1927" s="22">
        <v>31.549999199999998</v>
      </c>
      <c r="W1927" s="22">
        <v>31.7600002</v>
      </c>
      <c r="X1927" s="22">
        <v>28.618433</v>
      </c>
      <c r="Y1927" s="22">
        <v>685800</v>
      </c>
      <c r="Z1927" s="22">
        <v>-8.4294999999999995E-3</v>
      </c>
    </row>
    <row r="1928" spans="19:26" ht="16" x14ac:dyDescent="0.2">
      <c r="S1928" s="23">
        <v>44932</v>
      </c>
      <c r="T1928" s="22">
        <v>32.119998899999999</v>
      </c>
      <c r="U1928" s="22">
        <v>32.810001399999997</v>
      </c>
      <c r="V1928" s="22">
        <v>32.029998800000001</v>
      </c>
      <c r="W1928" s="22">
        <v>32.419998200000002</v>
      </c>
      <c r="X1928" s="22">
        <v>29.2131443</v>
      </c>
      <c r="Y1928" s="22">
        <v>602600</v>
      </c>
      <c r="Z1928" s="22">
        <v>2.0780710000000001E-2</v>
      </c>
    </row>
    <row r="1929" spans="19:26" ht="16" x14ac:dyDescent="0.2">
      <c r="S1929" s="23">
        <v>44935</v>
      </c>
      <c r="T1929" s="22">
        <v>32.590000199999999</v>
      </c>
      <c r="U1929" s="22">
        <v>32.75</v>
      </c>
      <c r="V1929" s="22">
        <v>32.380001100000001</v>
      </c>
      <c r="W1929" s="22">
        <v>32.650001500000002</v>
      </c>
      <c r="X1929" s="22">
        <v>29.4203987</v>
      </c>
      <c r="Y1929" s="22">
        <v>537700</v>
      </c>
      <c r="Z1929" s="22">
        <v>7.0945599999999998E-3</v>
      </c>
    </row>
    <row r="1930" spans="19:26" ht="16" x14ac:dyDescent="0.2">
      <c r="S1930" s="23">
        <v>44936</v>
      </c>
      <c r="T1930" s="22">
        <v>32.860000599999999</v>
      </c>
      <c r="U1930" s="22">
        <v>33.869998899999999</v>
      </c>
      <c r="V1930" s="22">
        <v>32.740001700000001</v>
      </c>
      <c r="W1930" s="22">
        <v>33.639999400000001</v>
      </c>
      <c r="X1930" s="22">
        <v>30.312467600000002</v>
      </c>
      <c r="Y1930" s="22">
        <v>606000</v>
      </c>
      <c r="Z1930" s="22">
        <v>3.0321440000000002E-2</v>
      </c>
    </row>
    <row r="1931" spans="19:26" ht="16" x14ac:dyDescent="0.2">
      <c r="S1931" s="23">
        <v>44937</v>
      </c>
      <c r="T1931" s="22">
        <v>33.740001700000001</v>
      </c>
      <c r="U1931" s="22">
        <v>34.25</v>
      </c>
      <c r="V1931" s="22">
        <v>33.580001799999998</v>
      </c>
      <c r="W1931" s="22">
        <v>34.130001100000001</v>
      </c>
      <c r="X1931" s="22">
        <v>30.754007300000001</v>
      </c>
      <c r="Y1931" s="22">
        <v>943100</v>
      </c>
      <c r="Z1931" s="22">
        <v>1.4566279999999999E-2</v>
      </c>
    </row>
    <row r="1932" spans="19:26" ht="16" x14ac:dyDescent="0.2">
      <c r="S1932" s="23">
        <v>44938</v>
      </c>
      <c r="T1932" s="22">
        <v>34.330001799999998</v>
      </c>
      <c r="U1932" s="22">
        <v>34.680000300000003</v>
      </c>
      <c r="V1932" s="22">
        <v>33.950000799999998</v>
      </c>
      <c r="W1932" s="22">
        <v>34.529998800000001</v>
      </c>
      <c r="X1932" s="22">
        <v>31.114433300000002</v>
      </c>
      <c r="Y1932" s="22">
        <v>583700</v>
      </c>
      <c r="Z1932" s="22">
        <v>1.171964E-2</v>
      </c>
    </row>
    <row r="1933" spans="19:26" ht="16" x14ac:dyDescent="0.2">
      <c r="S1933" s="23">
        <v>44939</v>
      </c>
      <c r="T1933" s="22">
        <v>34.279998800000001</v>
      </c>
      <c r="U1933" s="22">
        <v>34.540000900000003</v>
      </c>
      <c r="V1933" s="22">
        <v>34.060001399999997</v>
      </c>
      <c r="W1933" s="22">
        <v>34.319999699999997</v>
      </c>
      <c r="X1933" s="22">
        <v>30.925207100000002</v>
      </c>
      <c r="Y1933" s="22">
        <v>348100</v>
      </c>
      <c r="Z1933" s="22">
        <v>-6.0816000000000004E-3</v>
      </c>
    </row>
    <row r="1934" spans="19:26" ht="16" x14ac:dyDescent="0.2">
      <c r="S1934" s="23">
        <v>44943</v>
      </c>
      <c r="T1934" s="22">
        <v>34.459999099999997</v>
      </c>
      <c r="U1934" s="22">
        <v>35.139999400000001</v>
      </c>
      <c r="V1934" s="22">
        <v>34.279998800000001</v>
      </c>
      <c r="W1934" s="22">
        <v>34.419998200000002</v>
      </c>
      <c r="X1934" s="22">
        <v>31.0153198</v>
      </c>
      <c r="Y1934" s="22">
        <v>651200</v>
      </c>
      <c r="Z1934" s="22">
        <v>2.9138900000000001E-3</v>
      </c>
    </row>
    <row r="1935" spans="19:26" ht="16" x14ac:dyDescent="0.2">
      <c r="S1935" s="23">
        <v>44944</v>
      </c>
      <c r="T1935" s="22">
        <v>34.560001399999997</v>
      </c>
      <c r="U1935" s="22">
        <v>35</v>
      </c>
      <c r="V1935" s="22">
        <v>34.099998499999998</v>
      </c>
      <c r="W1935" s="22">
        <v>34.200000799999998</v>
      </c>
      <c r="X1935" s="22">
        <v>30.8170757</v>
      </c>
      <c r="Y1935" s="22">
        <v>539600</v>
      </c>
      <c r="Z1935" s="22">
        <v>-6.3918000000000004E-3</v>
      </c>
    </row>
    <row r="1936" spans="19:26" ht="16" x14ac:dyDescent="0.2">
      <c r="S1936" s="23">
        <v>44945</v>
      </c>
      <c r="T1936" s="22">
        <v>34</v>
      </c>
      <c r="U1936" s="22">
        <v>34.090000199999999</v>
      </c>
      <c r="V1936" s="22">
        <v>33.459999099999997</v>
      </c>
      <c r="W1936" s="22">
        <v>33.630001100000001</v>
      </c>
      <c r="X1936" s="22">
        <v>30.303457300000002</v>
      </c>
      <c r="Y1936" s="22">
        <v>428700</v>
      </c>
      <c r="Z1936" s="22">
        <v>-1.66667E-2</v>
      </c>
    </row>
    <row r="1937" spans="19:26" ht="16" x14ac:dyDescent="0.2">
      <c r="S1937" s="23">
        <v>44946</v>
      </c>
      <c r="T1937" s="22">
        <v>33.569999699999997</v>
      </c>
      <c r="U1937" s="22">
        <v>33.639999400000001</v>
      </c>
      <c r="V1937" s="22">
        <v>32.349998499999998</v>
      </c>
      <c r="W1937" s="22">
        <v>33.259998299999999</v>
      </c>
      <c r="X1937" s="22">
        <v>29.970056499999998</v>
      </c>
      <c r="Y1937" s="22">
        <v>1724800</v>
      </c>
      <c r="Z1937" s="22">
        <v>-1.1002100000000001E-2</v>
      </c>
    </row>
    <row r="1938" spans="19:26" ht="16" x14ac:dyDescent="0.2">
      <c r="S1938" s="23">
        <v>44949</v>
      </c>
      <c r="T1938" s="22">
        <v>33.169998200000002</v>
      </c>
      <c r="U1938" s="22">
        <v>33.479999499999998</v>
      </c>
      <c r="V1938" s="22">
        <v>33.029998800000001</v>
      </c>
      <c r="W1938" s="22">
        <v>33.130001100000001</v>
      </c>
      <c r="X1938" s="22">
        <v>29.8529205</v>
      </c>
      <c r="Y1938" s="22">
        <v>485800</v>
      </c>
      <c r="Z1938" s="22">
        <v>-3.9084000000000002E-3</v>
      </c>
    </row>
    <row r="1939" spans="19:26" ht="16" x14ac:dyDescent="0.2">
      <c r="S1939" s="23">
        <v>44950</v>
      </c>
      <c r="T1939" s="22">
        <v>33.240001700000001</v>
      </c>
      <c r="U1939" s="22">
        <v>33.569999699999997</v>
      </c>
      <c r="V1939" s="22">
        <v>32.919998200000002</v>
      </c>
      <c r="W1939" s="22">
        <v>33.490001700000001</v>
      </c>
      <c r="X1939" s="22">
        <v>30.1773071</v>
      </c>
      <c r="Y1939" s="22">
        <v>440400</v>
      </c>
      <c r="Z1939" s="22">
        <v>1.086616E-2</v>
      </c>
    </row>
    <row r="1940" spans="19:26" ht="16" x14ac:dyDescent="0.2">
      <c r="S1940" s="23">
        <v>44951</v>
      </c>
      <c r="T1940" s="22">
        <v>33.099998499999998</v>
      </c>
      <c r="U1940" s="22">
        <v>33.349998499999998</v>
      </c>
      <c r="V1940" s="22">
        <v>32.979999499999998</v>
      </c>
      <c r="W1940" s="22">
        <v>33.150001500000002</v>
      </c>
      <c r="X1940" s="22">
        <v>29.8709393</v>
      </c>
      <c r="Y1940" s="22">
        <v>315500</v>
      </c>
      <c r="Z1940" s="22">
        <v>-1.01523E-2</v>
      </c>
    </row>
    <row r="1941" spans="19:26" ht="16" x14ac:dyDescent="0.2">
      <c r="S1941" s="23">
        <v>44952</v>
      </c>
      <c r="T1941" s="22">
        <v>33.159999800000001</v>
      </c>
      <c r="U1941" s="22">
        <v>33.580001799999998</v>
      </c>
      <c r="V1941" s="22">
        <v>33.009998299999999</v>
      </c>
      <c r="W1941" s="22">
        <v>33.509998299999999</v>
      </c>
      <c r="X1941" s="22">
        <v>30.1953259</v>
      </c>
      <c r="Y1941" s="22">
        <v>287200</v>
      </c>
      <c r="Z1941" s="22">
        <v>1.0859600000000001E-2</v>
      </c>
    </row>
    <row r="1942" spans="19:26" ht="16" x14ac:dyDescent="0.2">
      <c r="S1942" s="23">
        <v>44953</v>
      </c>
      <c r="T1942" s="22">
        <v>33.470001199999999</v>
      </c>
      <c r="U1942" s="22">
        <v>33.840000199999999</v>
      </c>
      <c r="V1942" s="22">
        <v>33.259998299999999</v>
      </c>
      <c r="W1942" s="22">
        <v>33.659999800000001</v>
      </c>
      <c r="X1942" s="22">
        <v>30.330490099999999</v>
      </c>
      <c r="Y1942" s="22">
        <v>259200</v>
      </c>
      <c r="Z1942" s="22">
        <v>4.4763299999999997E-3</v>
      </c>
    </row>
    <row r="1943" spans="19:26" ht="16" x14ac:dyDescent="0.2">
      <c r="S1943" s="23">
        <v>44956</v>
      </c>
      <c r="T1943" s="22">
        <v>33.549999200000002</v>
      </c>
      <c r="U1943" s="22">
        <v>33.779998800000001</v>
      </c>
      <c r="V1943" s="22">
        <v>33.119998899999999</v>
      </c>
      <c r="W1943" s="22">
        <v>33.150001500000002</v>
      </c>
      <c r="X1943" s="22">
        <v>29.8709393</v>
      </c>
      <c r="Y1943" s="22">
        <v>362900</v>
      </c>
      <c r="Z1943" s="22">
        <v>-1.5151400000000001E-2</v>
      </c>
    </row>
    <row r="1944" spans="19:26" ht="16" x14ac:dyDescent="0.2">
      <c r="S1944" s="23">
        <v>44957</v>
      </c>
      <c r="T1944" s="22">
        <v>33.299999200000002</v>
      </c>
      <c r="U1944" s="22">
        <v>33.869998899999999</v>
      </c>
      <c r="V1944" s="22">
        <v>33.139999400000001</v>
      </c>
      <c r="W1944" s="22">
        <v>33.790000900000003</v>
      </c>
      <c r="X1944" s="22">
        <v>30.447635699999999</v>
      </c>
      <c r="Y1944" s="22">
        <v>599000</v>
      </c>
      <c r="Z1944" s="22">
        <v>1.930627E-2</v>
      </c>
    </row>
    <row r="1945" spans="19:26" ht="16" x14ac:dyDescent="0.2">
      <c r="S1945" s="23">
        <v>44958</v>
      </c>
      <c r="T1945" s="22">
        <v>33.700000799999998</v>
      </c>
      <c r="U1945" s="22">
        <v>34.119998899999999</v>
      </c>
      <c r="V1945" s="22">
        <v>33.099998499999998</v>
      </c>
      <c r="W1945" s="22">
        <v>33.810001399999997</v>
      </c>
      <c r="X1945" s="22">
        <v>30.465654399999998</v>
      </c>
      <c r="Y1945" s="22">
        <v>602600</v>
      </c>
      <c r="Z1945" s="22">
        <v>5.9179000000000002E-4</v>
      </c>
    </row>
    <row r="1946" spans="19:26" ht="16" x14ac:dyDescent="0.2">
      <c r="S1946" s="23">
        <v>44959</v>
      </c>
      <c r="T1946" s="22">
        <v>34.009998299999999</v>
      </c>
      <c r="U1946" s="22">
        <v>34.580001799999998</v>
      </c>
      <c r="V1946" s="22">
        <v>33.900001500000002</v>
      </c>
      <c r="W1946" s="22">
        <v>34.439998600000003</v>
      </c>
      <c r="X1946" s="22">
        <v>31.033336599999998</v>
      </c>
      <c r="Y1946" s="22">
        <v>447700</v>
      </c>
      <c r="Z1946" s="22">
        <v>1.8633520000000001E-2</v>
      </c>
    </row>
    <row r="1947" spans="19:26" ht="16" x14ac:dyDescent="0.2">
      <c r="S1947" s="23">
        <v>44960</v>
      </c>
      <c r="T1947" s="22">
        <v>34.099998499999998</v>
      </c>
      <c r="U1947" s="22">
        <v>34.110000599999999</v>
      </c>
      <c r="V1947" s="22">
        <v>33.430000300000003</v>
      </c>
      <c r="W1947" s="22">
        <v>33.630001100000001</v>
      </c>
      <c r="X1947" s="22">
        <v>30.303457300000002</v>
      </c>
      <c r="Y1947" s="22">
        <v>612300</v>
      </c>
      <c r="Z1947" s="22">
        <v>-2.3519200000000001E-2</v>
      </c>
    </row>
    <row r="1948" spans="19:26" ht="16" x14ac:dyDescent="0.2">
      <c r="S1948" s="23">
        <v>44963</v>
      </c>
      <c r="T1948" s="22">
        <v>33.5</v>
      </c>
      <c r="U1948" s="22">
        <v>33.540000900000003</v>
      </c>
      <c r="V1948" s="22">
        <v>32.830001799999998</v>
      </c>
      <c r="W1948" s="22">
        <v>32.909999800000001</v>
      </c>
      <c r="X1948" s="22">
        <v>29.654680299999999</v>
      </c>
      <c r="Y1948" s="22">
        <v>493700</v>
      </c>
      <c r="Z1948" s="22">
        <v>-2.1409299999999999E-2</v>
      </c>
    </row>
    <row r="1949" spans="19:26" ht="16" x14ac:dyDescent="0.2">
      <c r="S1949" s="23">
        <v>44964</v>
      </c>
      <c r="T1949" s="22">
        <v>32.75</v>
      </c>
      <c r="U1949" s="22">
        <v>33.180000300000003</v>
      </c>
      <c r="V1949" s="22">
        <v>32.369998899999999</v>
      </c>
      <c r="W1949" s="22">
        <v>33.169998200000002</v>
      </c>
      <c r="X1949" s="22">
        <v>29.8889599</v>
      </c>
      <c r="Y1949" s="22">
        <v>640400</v>
      </c>
      <c r="Z1949" s="22">
        <v>7.9002599999999992E-3</v>
      </c>
    </row>
    <row r="1950" spans="19:26" ht="16" x14ac:dyDescent="0.2">
      <c r="S1950" s="23">
        <v>44965</v>
      </c>
      <c r="T1950" s="22">
        <v>33.049999200000002</v>
      </c>
      <c r="U1950" s="22">
        <v>33.130001100000001</v>
      </c>
      <c r="V1950" s="22">
        <v>32.75</v>
      </c>
      <c r="W1950" s="22">
        <v>32.779998800000001</v>
      </c>
      <c r="X1950" s="22">
        <v>29.537536599999999</v>
      </c>
      <c r="Y1950" s="22">
        <v>492900</v>
      </c>
      <c r="Z1950" s="22">
        <v>-1.17576E-2</v>
      </c>
    </row>
    <row r="1951" spans="19:26" ht="16" x14ac:dyDescent="0.2">
      <c r="S1951" s="23">
        <v>44966</v>
      </c>
      <c r="T1951" s="22">
        <v>32.919998200000002</v>
      </c>
      <c r="U1951" s="22">
        <v>33.090000199999999</v>
      </c>
      <c r="V1951" s="22">
        <v>32.110000599999999</v>
      </c>
      <c r="W1951" s="22">
        <v>32.130001100000001</v>
      </c>
      <c r="X1951" s="22">
        <v>28.951833700000002</v>
      </c>
      <c r="Y1951" s="22">
        <v>392400</v>
      </c>
      <c r="Z1951" s="22">
        <v>-1.9829099999999999E-2</v>
      </c>
    </row>
    <row r="1952" spans="19:26" ht="16" x14ac:dyDescent="0.2">
      <c r="S1952" s="23">
        <v>44967</v>
      </c>
      <c r="T1952" s="22">
        <v>32.110000599999999</v>
      </c>
      <c r="U1952" s="22">
        <v>32.759998299999999</v>
      </c>
      <c r="V1952" s="22">
        <v>32.069999699999997</v>
      </c>
      <c r="W1952" s="22">
        <v>32.540000900000003</v>
      </c>
      <c r="X1952" s="22">
        <v>29.321277599999998</v>
      </c>
      <c r="Y1952" s="22">
        <v>556100</v>
      </c>
      <c r="Z1952" s="22">
        <v>1.276064E-2</v>
      </c>
    </row>
    <row r="1953" spans="19:26" ht="16" x14ac:dyDescent="0.2">
      <c r="S1953" s="23">
        <v>44970</v>
      </c>
      <c r="T1953" s="22">
        <v>32.590000199999999</v>
      </c>
      <c r="U1953" s="22">
        <v>33.229999499999998</v>
      </c>
      <c r="V1953" s="22">
        <v>32.540000900000003</v>
      </c>
      <c r="W1953" s="22">
        <v>33.209999099999997</v>
      </c>
      <c r="X1953" s="22">
        <v>29.925003100000001</v>
      </c>
      <c r="Y1953" s="22">
        <v>507900</v>
      </c>
      <c r="Z1953" s="22">
        <v>2.0590009999999999E-2</v>
      </c>
    </row>
    <row r="1954" spans="19:26" ht="16" x14ac:dyDescent="0.2">
      <c r="S1954" s="23">
        <v>44971</v>
      </c>
      <c r="T1954" s="22">
        <v>33.200000799999998</v>
      </c>
      <c r="U1954" s="22">
        <v>33.619998899999999</v>
      </c>
      <c r="V1954" s="22">
        <v>33</v>
      </c>
      <c r="W1954" s="22">
        <v>33.080001799999998</v>
      </c>
      <c r="X1954" s="22">
        <v>29.8078632</v>
      </c>
      <c r="Y1954" s="22">
        <v>447700</v>
      </c>
      <c r="Z1954" s="22">
        <v>-3.9144000000000002E-3</v>
      </c>
    </row>
    <row r="1955" spans="19:26" ht="16" x14ac:dyDescent="0.2">
      <c r="S1955" s="23">
        <v>44972</v>
      </c>
      <c r="T1955" s="22">
        <v>32.759998299999999</v>
      </c>
      <c r="U1955" s="22">
        <v>33.470001199999999</v>
      </c>
      <c r="V1955" s="22">
        <v>32.680000300000003</v>
      </c>
      <c r="W1955" s="22">
        <v>33.409999800000001</v>
      </c>
      <c r="X1955" s="22">
        <v>30.105222699999999</v>
      </c>
      <c r="Y1955" s="22">
        <v>523400</v>
      </c>
      <c r="Z1955" s="22">
        <v>9.9758699999999995E-3</v>
      </c>
    </row>
    <row r="1956" spans="19:26" ht="16" x14ac:dyDescent="0.2">
      <c r="S1956" s="23">
        <v>44973</v>
      </c>
      <c r="T1956" s="22">
        <v>33</v>
      </c>
      <c r="U1956" s="22">
        <v>33.259998299999999</v>
      </c>
      <c r="V1956" s="22">
        <v>32.810001399999997</v>
      </c>
      <c r="W1956" s="22">
        <v>32.900001500000002</v>
      </c>
      <c r="X1956" s="22">
        <v>29.645669900000001</v>
      </c>
      <c r="Y1956" s="22">
        <v>703200</v>
      </c>
      <c r="Z1956" s="22">
        <v>-1.52649E-2</v>
      </c>
    </row>
    <row r="1957" spans="19:26" ht="16" x14ac:dyDescent="0.2">
      <c r="S1957" s="23">
        <v>44974</v>
      </c>
      <c r="T1957" s="22">
        <v>33.020000500000002</v>
      </c>
      <c r="U1957" s="22">
        <v>33.099998499999998</v>
      </c>
      <c r="V1957" s="22">
        <v>32.340000199999999</v>
      </c>
      <c r="W1957" s="22">
        <v>32.770000500000002</v>
      </c>
      <c r="X1957" s="22">
        <v>29.5285282</v>
      </c>
      <c r="Y1957" s="22">
        <v>1143900</v>
      </c>
      <c r="Z1957" s="22">
        <v>-3.9513999999999999E-3</v>
      </c>
    </row>
    <row r="1958" spans="19:26" ht="16" x14ac:dyDescent="0.2">
      <c r="S1958" s="23">
        <v>44978</v>
      </c>
      <c r="T1958" s="22">
        <v>32.610000599999999</v>
      </c>
      <c r="U1958" s="22">
        <v>32.919998200000002</v>
      </c>
      <c r="V1958" s="22">
        <v>32.119998899999999</v>
      </c>
      <c r="W1958" s="22">
        <v>32.270000500000002</v>
      </c>
      <c r="X1958" s="22">
        <v>29.077987700000001</v>
      </c>
      <c r="Y1958" s="22">
        <v>563400</v>
      </c>
      <c r="Z1958" s="22">
        <v>-1.52578E-2</v>
      </c>
    </row>
    <row r="1959" spans="19:26" ht="16" x14ac:dyDescent="0.2">
      <c r="S1959" s="23">
        <v>44979</v>
      </c>
      <c r="T1959" s="22">
        <v>32.459999099999997</v>
      </c>
      <c r="U1959" s="22">
        <v>32.540000900000003</v>
      </c>
      <c r="V1959" s="22">
        <v>31.6800003</v>
      </c>
      <c r="W1959" s="22">
        <v>32.040000900000003</v>
      </c>
      <c r="X1959" s="22">
        <v>28.870737099999999</v>
      </c>
      <c r="Y1959" s="22">
        <v>805000</v>
      </c>
      <c r="Z1959" s="22">
        <v>-7.1273999999999999E-3</v>
      </c>
    </row>
    <row r="1960" spans="19:26" ht="16" x14ac:dyDescent="0.2">
      <c r="S1960" s="23">
        <v>44980</v>
      </c>
      <c r="T1960" s="22">
        <v>32.439998600000003</v>
      </c>
      <c r="U1960" s="22">
        <v>32.599998499999998</v>
      </c>
      <c r="V1960" s="22">
        <v>30.520000499999998</v>
      </c>
      <c r="W1960" s="22">
        <v>31.149999600000001</v>
      </c>
      <c r="X1960" s="22">
        <v>28.0687675</v>
      </c>
      <c r="Y1960" s="22">
        <v>1055100</v>
      </c>
      <c r="Z1960" s="22">
        <v>-2.7777900000000001E-2</v>
      </c>
    </row>
    <row r="1961" spans="19:26" ht="16" x14ac:dyDescent="0.2">
      <c r="S1961" s="23">
        <v>44981</v>
      </c>
      <c r="T1961" s="22">
        <v>30.860000599999999</v>
      </c>
      <c r="U1961" s="22">
        <v>31.399999600000001</v>
      </c>
      <c r="V1961" s="22">
        <v>30.6299992</v>
      </c>
      <c r="W1961" s="22">
        <v>30.969999300000001</v>
      </c>
      <c r="X1961" s="22">
        <v>27.9065762</v>
      </c>
      <c r="Y1961" s="22">
        <v>659100</v>
      </c>
      <c r="Z1961" s="22">
        <v>-5.7784000000000004E-3</v>
      </c>
    </row>
    <row r="1962" spans="19:26" ht="16" x14ac:dyDescent="0.2">
      <c r="S1962" s="23">
        <v>44984</v>
      </c>
      <c r="T1962" s="22">
        <v>31.2600002</v>
      </c>
      <c r="U1962" s="22">
        <v>32.099998499999998</v>
      </c>
      <c r="V1962" s="22">
        <v>31.049999199999998</v>
      </c>
      <c r="W1962" s="22">
        <v>31.5599995</v>
      </c>
      <c r="X1962" s="22">
        <v>28.4382172</v>
      </c>
      <c r="Y1962" s="22">
        <v>826700</v>
      </c>
      <c r="Z1962" s="22">
        <v>1.905074E-2</v>
      </c>
    </row>
    <row r="1963" spans="19:26" ht="16" x14ac:dyDescent="0.2">
      <c r="S1963" s="23">
        <v>44985</v>
      </c>
      <c r="T1963" s="22">
        <v>31.030000699999999</v>
      </c>
      <c r="U1963" s="22">
        <v>31.719999300000001</v>
      </c>
      <c r="V1963" s="22">
        <v>31.030000699999999</v>
      </c>
      <c r="W1963" s="22">
        <v>31.409999800000001</v>
      </c>
      <c r="X1963" s="22">
        <v>28.643394499999999</v>
      </c>
      <c r="Y1963" s="22">
        <v>1060400</v>
      </c>
      <c r="Z1963" s="22">
        <v>7.2148400000000001E-3</v>
      </c>
    </row>
    <row r="1964" spans="19:26" ht="16" x14ac:dyDescent="0.2">
      <c r="S1964" s="23">
        <v>44986</v>
      </c>
      <c r="T1964" s="22">
        <v>31.350000399999999</v>
      </c>
      <c r="U1964" s="22">
        <v>31.6299992</v>
      </c>
      <c r="V1964" s="22">
        <v>30.579999900000001</v>
      </c>
      <c r="W1964" s="22">
        <v>30.799999199999998</v>
      </c>
      <c r="X1964" s="22">
        <v>28.087125799999999</v>
      </c>
      <c r="Y1964" s="22">
        <v>964700</v>
      </c>
      <c r="Z1964" s="22">
        <v>-1.94205E-2</v>
      </c>
    </row>
    <row r="1965" spans="19:26" ht="16" x14ac:dyDescent="0.2">
      <c r="S1965" s="23">
        <v>44987</v>
      </c>
      <c r="T1965" s="22">
        <v>30.6900005</v>
      </c>
      <c r="U1965" s="22">
        <v>31.139999400000001</v>
      </c>
      <c r="V1965" s="22">
        <v>30.389999400000001</v>
      </c>
      <c r="W1965" s="22">
        <v>30.9899998</v>
      </c>
      <c r="X1965" s="22">
        <v>28.260393100000002</v>
      </c>
      <c r="Y1965" s="22">
        <v>766500</v>
      </c>
      <c r="Z1965" s="22">
        <v>6.1689199999999996E-3</v>
      </c>
    </row>
    <row r="1966" spans="19:26" ht="16" x14ac:dyDescent="0.2">
      <c r="S1966" s="23">
        <v>44988</v>
      </c>
      <c r="T1966" s="22">
        <v>31.139999400000001</v>
      </c>
      <c r="U1966" s="22">
        <v>31.7399998</v>
      </c>
      <c r="V1966" s="22">
        <v>30.7600002</v>
      </c>
      <c r="W1966" s="22">
        <v>31.700000800000002</v>
      </c>
      <c r="X1966" s="22">
        <v>28.907852200000001</v>
      </c>
      <c r="Y1966" s="22">
        <v>819700</v>
      </c>
      <c r="Z1966" s="22">
        <v>2.2910469999999999E-2</v>
      </c>
    </row>
    <row r="1967" spans="19:26" ht="16" x14ac:dyDescent="0.2">
      <c r="S1967" s="23">
        <v>44991</v>
      </c>
      <c r="T1967" s="22">
        <v>31.610000599999999</v>
      </c>
      <c r="U1967" s="22">
        <v>31.770000499999998</v>
      </c>
      <c r="V1967" s="22">
        <v>31.200000800000002</v>
      </c>
      <c r="W1967" s="22">
        <v>31.420000099999999</v>
      </c>
      <c r="X1967" s="22">
        <v>28.652515399999999</v>
      </c>
      <c r="Y1967" s="22">
        <v>659400</v>
      </c>
      <c r="Z1967" s="22">
        <v>-8.8328E-3</v>
      </c>
    </row>
    <row r="1968" spans="19:26" ht="16" x14ac:dyDescent="0.2">
      <c r="S1968" s="23">
        <v>44992</v>
      </c>
      <c r="T1968" s="22">
        <v>31.6900005</v>
      </c>
      <c r="U1968" s="22">
        <v>31.840000199999999</v>
      </c>
      <c r="V1968" s="22">
        <v>31.2399998</v>
      </c>
      <c r="W1968" s="22">
        <v>31.270000499999998</v>
      </c>
      <c r="X1968" s="22">
        <v>28.515727999999999</v>
      </c>
      <c r="Y1968" s="22">
        <v>872000</v>
      </c>
      <c r="Z1968" s="22">
        <v>-4.7739999999999996E-3</v>
      </c>
    </row>
    <row r="1969" spans="19:26" ht="16" x14ac:dyDescent="0.2">
      <c r="S1969" s="23">
        <v>44993</v>
      </c>
      <c r="T1969" s="22">
        <v>31.270000499999998</v>
      </c>
      <c r="U1969" s="22">
        <v>31.459999100000001</v>
      </c>
      <c r="V1969" s="22">
        <v>30.889999400000001</v>
      </c>
      <c r="W1969" s="22">
        <v>31.1900005</v>
      </c>
      <c r="X1969" s="22">
        <v>28.442775699999999</v>
      </c>
      <c r="Y1969" s="22">
        <v>461500</v>
      </c>
      <c r="Z1969" s="22">
        <v>-2.5582999999999999E-3</v>
      </c>
    </row>
    <row r="1970" spans="19:26" ht="16" x14ac:dyDescent="0.2">
      <c r="S1970" s="23">
        <v>44994</v>
      </c>
      <c r="T1970" s="22">
        <v>31.170000099999999</v>
      </c>
      <c r="U1970" s="22">
        <v>31.450000800000002</v>
      </c>
      <c r="V1970" s="22">
        <v>30.459999100000001</v>
      </c>
      <c r="W1970" s="22">
        <v>30.530000699999999</v>
      </c>
      <c r="X1970" s="22">
        <v>27.8409081</v>
      </c>
      <c r="Y1970" s="22">
        <v>464600</v>
      </c>
      <c r="Z1970" s="22">
        <v>-2.1160700000000001E-2</v>
      </c>
    </row>
    <row r="1971" spans="19:26" ht="16" x14ac:dyDescent="0.2">
      <c r="S1971" s="23">
        <v>44995</v>
      </c>
      <c r="T1971" s="22">
        <v>30.530000699999999</v>
      </c>
      <c r="U1971" s="22">
        <v>30.590000199999999</v>
      </c>
      <c r="V1971" s="22">
        <v>29.639999400000001</v>
      </c>
      <c r="W1971" s="22">
        <v>29.729999500000002</v>
      </c>
      <c r="X1971" s="22">
        <v>27.111371999999999</v>
      </c>
      <c r="Y1971" s="22">
        <v>621700</v>
      </c>
      <c r="Z1971" s="22">
        <v>-2.62037E-2</v>
      </c>
    </row>
    <row r="1972" spans="19:26" ht="16" x14ac:dyDescent="0.2">
      <c r="S1972" s="23">
        <v>44998</v>
      </c>
      <c r="T1972" s="22">
        <v>29.6200008</v>
      </c>
      <c r="U1972" s="22">
        <v>30.7600002</v>
      </c>
      <c r="V1972" s="22">
        <v>29.360000599999999</v>
      </c>
      <c r="W1972" s="22">
        <v>30.049999199999998</v>
      </c>
      <c r="X1972" s="22">
        <v>27.403184899999999</v>
      </c>
      <c r="Y1972" s="22">
        <v>763900</v>
      </c>
      <c r="Z1972" s="22">
        <v>1.0763490000000001E-2</v>
      </c>
    </row>
    <row r="1973" spans="19:26" ht="16" x14ac:dyDescent="0.2">
      <c r="S1973" s="23">
        <v>44999</v>
      </c>
      <c r="T1973" s="22">
        <v>30.719999300000001</v>
      </c>
      <c r="U1973" s="22">
        <v>31.450000800000002</v>
      </c>
      <c r="V1973" s="22">
        <v>30.6299992</v>
      </c>
      <c r="W1973" s="22">
        <v>30.950000800000002</v>
      </c>
      <c r="X1973" s="22">
        <v>28.223915099999999</v>
      </c>
      <c r="Y1973" s="22">
        <v>1352500</v>
      </c>
      <c r="Z1973" s="22">
        <v>2.995018E-2</v>
      </c>
    </row>
    <row r="1974" spans="19:26" ht="16" x14ac:dyDescent="0.2">
      <c r="S1974" s="23">
        <v>45000</v>
      </c>
      <c r="T1974" s="22">
        <v>30.700000800000002</v>
      </c>
      <c r="U1974" s="22">
        <v>31.420000099999999</v>
      </c>
      <c r="V1974" s="22">
        <v>30.469999300000001</v>
      </c>
      <c r="W1974" s="22">
        <v>30.969999300000001</v>
      </c>
      <c r="X1974" s="22">
        <v>28.242149399999999</v>
      </c>
      <c r="Y1974" s="22">
        <v>1414600</v>
      </c>
      <c r="Z1974" s="22">
        <v>6.4605999999999995E-4</v>
      </c>
    </row>
    <row r="1975" spans="19:26" ht="16" x14ac:dyDescent="0.2">
      <c r="S1975" s="23">
        <v>45001</v>
      </c>
      <c r="T1975" s="22">
        <v>30.6800003</v>
      </c>
      <c r="U1975" s="22">
        <v>30.850000399999999</v>
      </c>
      <c r="V1975" s="22">
        <v>30.110000599999999</v>
      </c>
      <c r="W1975" s="22">
        <v>30.520000499999998</v>
      </c>
      <c r="X1975" s="22">
        <v>27.831789000000001</v>
      </c>
      <c r="Y1975" s="22">
        <v>895800</v>
      </c>
      <c r="Z1975" s="22">
        <v>-1.4530100000000001E-2</v>
      </c>
    </row>
    <row r="1976" spans="19:26" ht="16" x14ac:dyDescent="0.2">
      <c r="S1976" s="23">
        <v>45002</v>
      </c>
      <c r="T1976" s="22">
        <v>30.219999300000001</v>
      </c>
      <c r="U1976" s="22">
        <v>30.2600002</v>
      </c>
      <c r="V1976" s="22">
        <v>29.6800003</v>
      </c>
      <c r="W1976" s="22">
        <v>30.200000800000002</v>
      </c>
      <c r="X1976" s="22">
        <v>27.539978000000001</v>
      </c>
      <c r="Y1976" s="22">
        <v>1503300</v>
      </c>
      <c r="Z1976" s="22">
        <v>-1.0484800000000001E-2</v>
      </c>
    </row>
    <row r="1977" spans="19:26" ht="16" x14ac:dyDescent="0.2">
      <c r="S1977" s="23">
        <v>45005</v>
      </c>
      <c r="T1977" s="22">
        <v>30.3199997</v>
      </c>
      <c r="U1977" s="22">
        <v>30.709999100000001</v>
      </c>
      <c r="V1977" s="22">
        <v>30.079999900000001</v>
      </c>
      <c r="W1977" s="22">
        <v>30.3099995</v>
      </c>
      <c r="X1977" s="22">
        <v>27.640285500000001</v>
      </c>
      <c r="Y1977" s="22">
        <v>1015900</v>
      </c>
      <c r="Z1977" s="22">
        <v>3.6422500000000001E-3</v>
      </c>
    </row>
    <row r="1978" spans="19:26" ht="16" x14ac:dyDescent="0.2">
      <c r="S1978" s="23">
        <v>45006</v>
      </c>
      <c r="T1978" s="22">
        <v>30.729999500000002</v>
      </c>
      <c r="U1978" s="22">
        <v>30.770000499999998</v>
      </c>
      <c r="V1978" s="22">
        <v>29.959999100000001</v>
      </c>
      <c r="W1978" s="22">
        <v>30.229999500000002</v>
      </c>
      <c r="X1978" s="22">
        <v>27.567329399999998</v>
      </c>
      <c r="Y1978" s="22">
        <v>1144900</v>
      </c>
      <c r="Z1978" s="22">
        <v>-2.6394999999999999E-3</v>
      </c>
    </row>
    <row r="1979" spans="19:26" ht="16" x14ac:dyDescent="0.2">
      <c r="S1979" s="23">
        <v>45007</v>
      </c>
      <c r="T1979" s="22">
        <v>30.0599995</v>
      </c>
      <c r="U1979" s="22">
        <v>30.209999100000001</v>
      </c>
      <c r="V1979" s="22">
        <v>29.5599995</v>
      </c>
      <c r="W1979" s="22">
        <v>29.590000199999999</v>
      </c>
      <c r="X1979" s="22">
        <v>26.983703599999998</v>
      </c>
      <c r="Y1979" s="22">
        <v>988900</v>
      </c>
      <c r="Z1979" s="22">
        <v>-2.1170899999999999E-2</v>
      </c>
    </row>
    <row r="1980" spans="19:26" ht="16" x14ac:dyDescent="0.2">
      <c r="S1980" s="23">
        <v>45008</v>
      </c>
      <c r="T1980" s="22">
        <v>29.719999300000001</v>
      </c>
      <c r="U1980" s="22">
        <v>30.1299992</v>
      </c>
      <c r="V1980" s="22">
        <v>29.030000699999999</v>
      </c>
      <c r="W1980" s="22">
        <v>29.170000099999999</v>
      </c>
      <c r="X1980" s="22">
        <v>26.600696599999999</v>
      </c>
      <c r="Y1980" s="22">
        <v>783300</v>
      </c>
      <c r="Z1980" s="22">
        <v>-1.4194E-2</v>
      </c>
    </row>
    <row r="1981" spans="19:26" ht="16" x14ac:dyDescent="0.2">
      <c r="S1981" s="23">
        <v>45009</v>
      </c>
      <c r="T1981" s="22">
        <v>29.100000399999999</v>
      </c>
      <c r="U1981" s="22">
        <v>30.1800003</v>
      </c>
      <c r="V1981" s="22">
        <v>28.9400005</v>
      </c>
      <c r="W1981" s="22">
        <v>30.170000099999999</v>
      </c>
      <c r="X1981" s="22">
        <v>27.5126171</v>
      </c>
      <c r="Y1981" s="22">
        <v>686800</v>
      </c>
      <c r="Z1981" s="22">
        <v>3.4281829999999999E-2</v>
      </c>
    </row>
    <row r="1982" spans="19:26" ht="16" x14ac:dyDescent="0.2">
      <c r="S1982" s="23">
        <v>45012</v>
      </c>
      <c r="T1982" s="22">
        <v>30.459999100000001</v>
      </c>
      <c r="U1982" s="22">
        <v>30.8099995</v>
      </c>
      <c r="V1982" s="22">
        <v>30.219999300000001</v>
      </c>
      <c r="W1982" s="22">
        <v>30.709999100000001</v>
      </c>
      <c r="X1982" s="22">
        <v>28.005052599999999</v>
      </c>
      <c r="Y1982" s="22">
        <v>786000</v>
      </c>
      <c r="Z1982" s="22">
        <v>1.7898529999999999E-2</v>
      </c>
    </row>
    <row r="1983" spans="19:26" ht="16" x14ac:dyDescent="0.2">
      <c r="S1983" s="23">
        <v>45013</v>
      </c>
      <c r="T1983" s="22">
        <v>30.6299992</v>
      </c>
      <c r="U1983" s="22">
        <v>31.049999199999998</v>
      </c>
      <c r="V1983" s="22">
        <v>30.530000699999999</v>
      </c>
      <c r="W1983" s="22">
        <v>30.790000899999999</v>
      </c>
      <c r="X1983" s="22">
        <v>28.078008700000002</v>
      </c>
      <c r="Y1983" s="22">
        <v>683100</v>
      </c>
      <c r="Z1983" s="22">
        <v>2.6051E-3</v>
      </c>
    </row>
    <row r="1984" spans="19:26" ht="16" x14ac:dyDescent="0.2">
      <c r="S1984" s="23">
        <v>45014</v>
      </c>
      <c r="T1984" s="22">
        <v>31.0100002</v>
      </c>
      <c r="U1984" s="22">
        <v>31.350000399999999</v>
      </c>
      <c r="V1984" s="22">
        <v>30.950000800000002</v>
      </c>
      <c r="W1984" s="22">
        <v>31.200000800000002</v>
      </c>
      <c r="X1984" s="22">
        <v>28.451894800000002</v>
      </c>
      <c r="Y1984" s="22">
        <v>2139500</v>
      </c>
      <c r="Z1984" s="22">
        <v>1.331598E-2</v>
      </c>
    </row>
    <row r="1985" spans="19:26" ht="16" x14ac:dyDescent="0.2">
      <c r="S1985" s="23">
        <v>45015</v>
      </c>
      <c r="T1985" s="22">
        <v>31.450000800000002</v>
      </c>
      <c r="U1985" s="22">
        <v>31.6299992</v>
      </c>
      <c r="V1985" s="22">
        <v>30.75</v>
      </c>
      <c r="W1985" s="22">
        <v>30.9300003</v>
      </c>
      <c r="X1985" s="22">
        <v>28.205675100000001</v>
      </c>
      <c r="Y1985" s="22">
        <v>923700</v>
      </c>
      <c r="Z1985" s="22">
        <v>-8.6539000000000008E-3</v>
      </c>
    </row>
    <row r="1986" spans="19:26" ht="16" x14ac:dyDescent="0.2">
      <c r="S1986" s="23">
        <v>45016</v>
      </c>
      <c r="T1986" s="22">
        <v>31.079999900000001</v>
      </c>
      <c r="U1986" s="22">
        <v>31.399999600000001</v>
      </c>
      <c r="V1986" s="22">
        <v>30.8700008</v>
      </c>
      <c r="W1986" s="22">
        <v>31.329999900000001</v>
      </c>
      <c r="X1986" s="22">
        <v>28.5704441</v>
      </c>
      <c r="Y1986" s="22">
        <v>1415400</v>
      </c>
      <c r="Z1986" s="22">
        <v>1.293247E-2</v>
      </c>
    </row>
    <row r="1987" spans="19:26" ht="16" x14ac:dyDescent="0.2">
      <c r="S1987" s="23">
        <v>45019</v>
      </c>
      <c r="T1987" s="22">
        <v>31.3700008</v>
      </c>
      <c r="U1987" s="22">
        <v>31.409999800000001</v>
      </c>
      <c r="V1987" s="22">
        <v>30.479999500000002</v>
      </c>
      <c r="W1987" s="22">
        <v>30.719999300000001</v>
      </c>
      <c r="X1987" s="22">
        <v>28.014173499999998</v>
      </c>
      <c r="Y1987" s="22">
        <v>869500</v>
      </c>
      <c r="Z1987" s="22">
        <v>-1.9470100000000001E-2</v>
      </c>
    </row>
    <row r="1988" spans="19:26" ht="16" x14ac:dyDescent="0.2">
      <c r="S1988" s="23">
        <v>45020</v>
      </c>
      <c r="T1988" s="22">
        <v>30.8099995</v>
      </c>
      <c r="U1988" s="22">
        <v>31.270000499999998</v>
      </c>
      <c r="V1988" s="22">
        <v>30.540000899999999</v>
      </c>
      <c r="W1988" s="22">
        <v>31.1299992</v>
      </c>
      <c r="X1988" s="22">
        <v>28.388059599999998</v>
      </c>
      <c r="Y1988" s="22">
        <v>982900</v>
      </c>
      <c r="Z1988" s="22">
        <v>1.334632E-2</v>
      </c>
    </row>
    <row r="1989" spans="19:26" ht="16" x14ac:dyDescent="0.2">
      <c r="S1989" s="23">
        <v>45021</v>
      </c>
      <c r="T1989" s="22">
        <v>31.25</v>
      </c>
      <c r="U1989" s="22">
        <v>32.020000500000002</v>
      </c>
      <c r="V1989" s="22">
        <v>31.1900005</v>
      </c>
      <c r="W1989" s="22">
        <v>31.920000099999999</v>
      </c>
      <c r="X1989" s="22">
        <v>29.108476599999999</v>
      </c>
      <c r="Y1989" s="22">
        <v>1113500</v>
      </c>
      <c r="Z1989" s="22">
        <v>2.5377469999999999E-2</v>
      </c>
    </row>
    <row r="1990" spans="19:26" ht="16" x14ac:dyDescent="0.2">
      <c r="S1990" s="23">
        <v>45022</v>
      </c>
      <c r="T1990" s="22">
        <v>32.139999400000001</v>
      </c>
      <c r="U1990" s="22">
        <v>32.240001700000001</v>
      </c>
      <c r="V1990" s="22">
        <v>31.4300003</v>
      </c>
      <c r="W1990" s="22">
        <v>31.700000800000002</v>
      </c>
      <c r="X1990" s="22">
        <v>28.907852200000001</v>
      </c>
      <c r="Y1990" s="22">
        <v>610200</v>
      </c>
      <c r="Z1990" s="22">
        <v>-6.8922999999999996E-3</v>
      </c>
    </row>
    <row r="1991" spans="19:26" ht="16" x14ac:dyDescent="0.2">
      <c r="S1991" s="23">
        <v>45026</v>
      </c>
      <c r="T1991" s="22">
        <v>31.479999500000002</v>
      </c>
      <c r="U1991" s="22">
        <v>31.770000499999998</v>
      </c>
      <c r="V1991" s="22">
        <v>31.1800003</v>
      </c>
      <c r="W1991" s="22">
        <v>31.3799992</v>
      </c>
      <c r="X1991" s="22">
        <v>28.6160374</v>
      </c>
      <c r="Y1991" s="22">
        <v>450900</v>
      </c>
      <c r="Z1991" s="22">
        <v>-1.00947E-2</v>
      </c>
    </row>
    <row r="1992" spans="19:26" ht="16" x14ac:dyDescent="0.2">
      <c r="S1992" s="23">
        <v>45027</v>
      </c>
      <c r="T1992" s="22">
        <v>31.409999800000001</v>
      </c>
      <c r="U1992" s="22">
        <v>31.729999500000002</v>
      </c>
      <c r="V1992" s="22">
        <v>31.139999400000001</v>
      </c>
      <c r="W1992" s="22">
        <v>31.479999500000002</v>
      </c>
      <c r="X1992" s="22">
        <v>28.707231499999999</v>
      </c>
      <c r="Y1992" s="22">
        <v>627400</v>
      </c>
      <c r="Z1992" s="22">
        <v>3.1868199999999999E-3</v>
      </c>
    </row>
    <row r="1993" spans="19:26" ht="16" x14ac:dyDescent="0.2">
      <c r="S1993" s="23">
        <v>45028</v>
      </c>
      <c r="T1993" s="22">
        <v>31.700000800000002</v>
      </c>
      <c r="U1993" s="22">
        <v>31.790000899999999</v>
      </c>
      <c r="V1993" s="22">
        <v>31.4899998</v>
      </c>
      <c r="W1993" s="22">
        <v>31.5699997</v>
      </c>
      <c r="X1993" s="22">
        <v>28.789304699999999</v>
      </c>
      <c r="Y1993" s="22">
        <v>526400</v>
      </c>
      <c r="Z1993" s="22">
        <v>2.8589700000000002E-3</v>
      </c>
    </row>
    <row r="1994" spans="19:26" ht="16" x14ac:dyDescent="0.2">
      <c r="S1994" s="23">
        <v>45029</v>
      </c>
      <c r="T1994" s="22">
        <v>31.459999100000001</v>
      </c>
      <c r="U1994" s="22">
        <v>31.9400005</v>
      </c>
      <c r="V1994" s="22">
        <v>31.2600002</v>
      </c>
      <c r="W1994" s="22">
        <v>31.8199997</v>
      </c>
      <c r="X1994" s="22">
        <v>29.0172825</v>
      </c>
      <c r="Y1994" s="22">
        <v>482800</v>
      </c>
      <c r="Z1994" s="22">
        <v>7.91883E-3</v>
      </c>
    </row>
    <row r="1995" spans="19:26" ht="16" x14ac:dyDescent="0.2">
      <c r="S1995" s="23">
        <v>45030</v>
      </c>
      <c r="T1995" s="22">
        <v>31.659999800000001</v>
      </c>
      <c r="U1995" s="22">
        <v>31.840000199999999</v>
      </c>
      <c r="V1995" s="22">
        <v>31.350000399999999</v>
      </c>
      <c r="W1995" s="22">
        <v>31.530000699999999</v>
      </c>
      <c r="X1995" s="22">
        <v>28.752828600000001</v>
      </c>
      <c r="Y1995" s="22">
        <v>424900</v>
      </c>
      <c r="Z1995" s="22">
        <v>-9.1137000000000006E-3</v>
      </c>
    </row>
    <row r="1996" spans="19:26" ht="16" x14ac:dyDescent="0.2">
      <c r="S1996" s="23">
        <v>45033</v>
      </c>
      <c r="T1996" s="22">
        <v>31.7399998</v>
      </c>
      <c r="U1996" s="22">
        <v>32.229999499999998</v>
      </c>
      <c r="V1996" s="22">
        <v>31.649999600000001</v>
      </c>
      <c r="W1996" s="22">
        <v>32.189998600000003</v>
      </c>
      <c r="X1996" s="22">
        <v>29.354692499999999</v>
      </c>
      <c r="Y1996" s="22">
        <v>608300</v>
      </c>
      <c r="Z1996" s="22">
        <v>2.0932340000000001E-2</v>
      </c>
    </row>
    <row r="1997" spans="19:26" ht="16" x14ac:dyDescent="0.2">
      <c r="S1997" s="23">
        <v>45034</v>
      </c>
      <c r="T1997" s="22">
        <v>32.139999400000001</v>
      </c>
      <c r="U1997" s="22">
        <v>32.169998200000002</v>
      </c>
      <c r="V1997" s="22">
        <v>31.530000699999999</v>
      </c>
      <c r="W1997" s="22">
        <v>31.719999300000001</v>
      </c>
      <c r="X1997" s="22">
        <v>28.926092100000002</v>
      </c>
      <c r="Y1997" s="22">
        <v>692900</v>
      </c>
      <c r="Z1997" s="22">
        <v>-1.4600699999999999E-2</v>
      </c>
    </row>
    <row r="1998" spans="19:26" ht="16" x14ac:dyDescent="0.2">
      <c r="S1998" s="23">
        <v>45035</v>
      </c>
      <c r="T1998" s="22">
        <v>31.639999400000001</v>
      </c>
      <c r="U1998" s="22">
        <v>31.850000399999999</v>
      </c>
      <c r="V1998" s="22">
        <v>31.1200008</v>
      </c>
      <c r="W1998" s="22">
        <v>31.219999300000001</v>
      </c>
      <c r="X1998" s="22">
        <v>28.470129</v>
      </c>
      <c r="Y1998" s="22">
        <v>747700</v>
      </c>
      <c r="Z1998" s="22">
        <v>-1.5762999999999999E-2</v>
      </c>
    </row>
    <row r="1999" spans="19:26" ht="16" x14ac:dyDescent="0.2">
      <c r="S1999" s="23">
        <v>45036</v>
      </c>
      <c r="T1999" s="22">
        <v>31.0100002</v>
      </c>
      <c r="U1999" s="22">
        <v>31.229999500000002</v>
      </c>
      <c r="V1999" s="22">
        <v>30.549999199999998</v>
      </c>
      <c r="W1999" s="22">
        <v>31.159999800000001</v>
      </c>
      <c r="X1999" s="22">
        <v>28.415416700000002</v>
      </c>
      <c r="Y1999" s="22">
        <v>841400</v>
      </c>
      <c r="Z1999" s="22">
        <v>-1.9216999999999999E-3</v>
      </c>
    </row>
    <row r="2000" spans="19:26" ht="16" x14ac:dyDescent="0.2">
      <c r="S2000" s="23">
        <v>45037</v>
      </c>
      <c r="T2000" s="22">
        <v>31.3700008</v>
      </c>
      <c r="U2000" s="22">
        <v>31.659999800000001</v>
      </c>
      <c r="V2000" s="22">
        <v>31.1299992</v>
      </c>
      <c r="W2000" s="22">
        <v>31.5100002</v>
      </c>
      <c r="X2000" s="22">
        <v>28.734588599999999</v>
      </c>
      <c r="Y2000" s="22">
        <v>1065900</v>
      </c>
      <c r="Z2000" s="22">
        <v>1.123235E-2</v>
      </c>
    </row>
    <row r="2001" spans="19:26" ht="16" x14ac:dyDescent="0.2">
      <c r="S2001" s="23">
        <v>45040</v>
      </c>
      <c r="T2001" s="22">
        <v>31.420000099999999</v>
      </c>
      <c r="U2001" s="22">
        <v>31.5699997</v>
      </c>
      <c r="V2001" s="22">
        <v>31.149999600000001</v>
      </c>
      <c r="W2001" s="22">
        <v>31.270000499999998</v>
      </c>
      <c r="X2001" s="22">
        <v>28.515727999999999</v>
      </c>
      <c r="Y2001" s="22">
        <v>1307500</v>
      </c>
      <c r="Z2001" s="22">
        <v>-7.6166000000000003E-3</v>
      </c>
    </row>
    <row r="2002" spans="19:26" ht="16" x14ac:dyDescent="0.2">
      <c r="S2002" s="23">
        <v>45041</v>
      </c>
      <c r="T2002" s="22">
        <v>31.100000399999999</v>
      </c>
      <c r="U2002" s="22">
        <v>31.2600002</v>
      </c>
      <c r="V2002" s="22">
        <v>30.030000699999999</v>
      </c>
      <c r="W2002" s="22">
        <v>30.040000899999999</v>
      </c>
      <c r="X2002" s="22">
        <v>27.394065900000001</v>
      </c>
      <c r="Y2002" s="22">
        <v>1086200</v>
      </c>
      <c r="Z2002" s="22">
        <v>-3.9334899999999999E-2</v>
      </c>
    </row>
    <row r="2003" spans="19:26" ht="16" x14ac:dyDescent="0.2">
      <c r="S2003" s="23">
        <v>45042</v>
      </c>
      <c r="T2003" s="22">
        <v>29.8799992</v>
      </c>
      <c r="U2003" s="22">
        <v>29.9300003</v>
      </c>
      <c r="V2003" s="22">
        <v>29.100000399999999</v>
      </c>
      <c r="W2003" s="22">
        <v>29.420000099999999</v>
      </c>
      <c r="X2003" s="22">
        <v>26.828678100000001</v>
      </c>
      <c r="Y2003" s="22">
        <v>1143300</v>
      </c>
      <c r="Z2003" s="22">
        <v>-2.0639100000000001E-2</v>
      </c>
    </row>
    <row r="2004" spans="19:26" ht="16" x14ac:dyDescent="0.2">
      <c r="S2004" s="23">
        <v>45043</v>
      </c>
      <c r="T2004" s="22">
        <v>29.5699997</v>
      </c>
      <c r="U2004" s="22">
        <v>30.200000800000002</v>
      </c>
      <c r="V2004" s="22">
        <v>29.5699997</v>
      </c>
      <c r="W2004" s="22">
        <v>29.850000399999999</v>
      </c>
      <c r="X2004" s="22">
        <v>27.220800400000002</v>
      </c>
      <c r="Y2004" s="22">
        <v>653800</v>
      </c>
      <c r="Z2004" s="22">
        <v>1.461579E-2</v>
      </c>
    </row>
    <row r="2005" spans="19:26" ht="16" x14ac:dyDescent="0.2">
      <c r="S2005" s="23">
        <v>45044</v>
      </c>
      <c r="T2005" s="22">
        <v>29.7399998</v>
      </c>
      <c r="U2005" s="22">
        <v>30.420000099999999</v>
      </c>
      <c r="V2005" s="22">
        <v>29.729999500000002</v>
      </c>
      <c r="W2005" s="22">
        <v>30.3700008</v>
      </c>
      <c r="X2005" s="22">
        <v>27.695001600000001</v>
      </c>
      <c r="Y2005" s="22">
        <v>747200</v>
      </c>
      <c r="Z2005" s="22">
        <v>1.742055E-2</v>
      </c>
    </row>
    <row r="2006" spans="19:26" ht="16" x14ac:dyDescent="0.2">
      <c r="S2006" s="23">
        <v>45047</v>
      </c>
      <c r="T2006" s="22">
        <v>30.25</v>
      </c>
      <c r="U2006" s="22">
        <v>30.5699997</v>
      </c>
      <c r="V2006" s="22">
        <v>30.1800003</v>
      </c>
      <c r="W2006" s="22">
        <v>30.340000199999999</v>
      </c>
      <c r="X2006" s="22">
        <v>27.667642600000001</v>
      </c>
      <c r="Y2006" s="22">
        <v>578800</v>
      </c>
      <c r="Z2006" s="22">
        <v>-9.8790000000000011E-4</v>
      </c>
    </row>
    <row r="2007" spans="19:26" ht="16" x14ac:dyDescent="0.2">
      <c r="S2007" s="23">
        <v>45048</v>
      </c>
      <c r="T2007" s="22">
        <v>30.110000599999999</v>
      </c>
      <c r="U2007" s="22">
        <v>30.290000899999999</v>
      </c>
      <c r="V2007" s="22">
        <v>29.590000199999999</v>
      </c>
      <c r="W2007" s="22">
        <v>30.0100002</v>
      </c>
      <c r="X2007" s="22">
        <v>27.366708800000001</v>
      </c>
      <c r="Y2007" s="22">
        <v>810200</v>
      </c>
      <c r="Z2007" s="22">
        <v>-1.08767E-2</v>
      </c>
    </row>
    <row r="2008" spans="19:26" ht="16" x14ac:dyDescent="0.2">
      <c r="S2008" s="23">
        <v>45049</v>
      </c>
      <c r="T2008" s="22">
        <v>30.200000800000002</v>
      </c>
      <c r="U2008" s="22">
        <v>30.4300003</v>
      </c>
      <c r="V2008" s="22">
        <v>29.700000800000002</v>
      </c>
      <c r="W2008" s="22">
        <v>29.829999900000001</v>
      </c>
      <c r="X2008" s="22">
        <v>27.2025623</v>
      </c>
      <c r="Y2008" s="22">
        <v>834400</v>
      </c>
      <c r="Z2008" s="22">
        <v>-5.9979999999999999E-3</v>
      </c>
    </row>
    <row r="2009" spans="19:26" ht="16" x14ac:dyDescent="0.2">
      <c r="S2009" s="23">
        <v>45050</v>
      </c>
      <c r="T2009" s="22">
        <v>29.899999600000001</v>
      </c>
      <c r="U2009" s="22">
        <v>29.979999500000002</v>
      </c>
      <c r="V2009" s="22">
        <v>28.7600002</v>
      </c>
      <c r="W2009" s="22">
        <v>29.340000199999999</v>
      </c>
      <c r="X2009" s="22">
        <v>26.755721999999999</v>
      </c>
      <c r="Y2009" s="22">
        <v>763100</v>
      </c>
      <c r="Z2009" s="22">
        <v>-1.6426400000000001E-2</v>
      </c>
    </row>
    <row r="2010" spans="19:26" ht="16" x14ac:dyDescent="0.2">
      <c r="S2010" s="23">
        <v>45051</v>
      </c>
      <c r="T2010" s="22">
        <v>29.600000399999999</v>
      </c>
      <c r="U2010" s="22">
        <v>30.75</v>
      </c>
      <c r="V2010" s="22">
        <v>29.579999900000001</v>
      </c>
      <c r="W2010" s="22">
        <v>30.329999900000001</v>
      </c>
      <c r="X2010" s="22">
        <v>27.658523599999999</v>
      </c>
      <c r="Y2010" s="22">
        <v>1215200</v>
      </c>
      <c r="Z2010" s="22">
        <v>3.3742370000000001E-2</v>
      </c>
    </row>
    <row r="2011" spans="19:26" ht="16" x14ac:dyDescent="0.2">
      <c r="S2011" s="23">
        <v>45054</v>
      </c>
      <c r="T2011" s="22">
        <v>30.5100002</v>
      </c>
      <c r="U2011" s="22">
        <v>30.829999900000001</v>
      </c>
      <c r="V2011" s="22">
        <v>30.090000199999999</v>
      </c>
      <c r="W2011" s="22">
        <v>30.100000399999999</v>
      </c>
      <c r="X2011" s="22">
        <v>27.448782000000001</v>
      </c>
      <c r="Y2011" s="22">
        <v>840400</v>
      </c>
      <c r="Z2011" s="22">
        <v>-7.5833000000000003E-3</v>
      </c>
    </row>
    <row r="2012" spans="19:26" ht="16" x14ac:dyDescent="0.2">
      <c r="S2012" s="23">
        <v>45055</v>
      </c>
      <c r="T2012" s="22">
        <v>29.920000099999999</v>
      </c>
      <c r="U2012" s="22">
        <v>30.590000199999999</v>
      </c>
      <c r="V2012" s="22">
        <v>29.8799992</v>
      </c>
      <c r="W2012" s="22">
        <v>30.4899998</v>
      </c>
      <c r="X2012" s="22">
        <v>27.80443</v>
      </c>
      <c r="Y2012" s="22">
        <v>843700</v>
      </c>
      <c r="Z2012" s="22">
        <v>1.2956789999999999E-2</v>
      </c>
    </row>
    <row r="2013" spans="19:26" ht="16" x14ac:dyDescent="0.2">
      <c r="S2013" s="23">
        <v>45056</v>
      </c>
      <c r="T2013" s="22">
        <v>30.840000199999999</v>
      </c>
      <c r="U2013" s="22">
        <v>30.9300003</v>
      </c>
      <c r="V2013" s="22">
        <v>30.5</v>
      </c>
      <c r="W2013" s="22">
        <v>30.670000099999999</v>
      </c>
      <c r="X2013" s="22">
        <v>27.9685764</v>
      </c>
      <c r="Y2013" s="22">
        <v>851000</v>
      </c>
      <c r="Z2013" s="22">
        <v>5.9036100000000001E-3</v>
      </c>
    </row>
    <row r="2014" spans="19:26" ht="16" x14ac:dyDescent="0.2">
      <c r="S2014" s="23">
        <v>45057</v>
      </c>
      <c r="T2014" s="22">
        <v>30.4899998</v>
      </c>
      <c r="U2014" s="22">
        <v>30.790000899999999</v>
      </c>
      <c r="V2014" s="22">
        <v>30.350000399999999</v>
      </c>
      <c r="W2014" s="22">
        <v>30.709999100000001</v>
      </c>
      <c r="X2014" s="22">
        <v>28.005052599999999</v>
      </c>
      <c r="Y2014" s="22">
        <v>525700</v>
      </c>
      <c r="Z2014" s="22">
        <v>1.3041800000000001E-3</v>
      </c>
    </row>
    <row r="2015" spans="19:26" ht="16" x14ac:dyDescent="0.2">
      <c r="S2015" s="23">
        <v>45058</v>
      </c>
      <c r="T2015" s="22">
        <v>30.920000099999999</v>
      </c>
      <c r="U2015" s="22">
        <v>31.159999800000001</v>
      </c>
      <c r="V2015" s="22">
        <v>30.799999199999998</v>
      </c>
      <c r="W2015" s="22">
        <v>31.090000199999999</v>
      </c>
      <c r="X2015" s="22">
        <v>28.3515835</v>
      </c>
      <c r="Y2015" s="22">
        <v>639700</v>
      </c>
      <c r="Z2015" s="22">
        <v>1.237387E-2</v>
      </c>
    </row>
    <row r="2016" spans="19:26" ht="16" x14ac:dyDescent="0.2">
      <c r="S2016" s="23">
        <v>45061</v>
      </c>
      <c r="T2016" s="22">
        <v>31.1800003</v>
      </c>
      <c r="U2016" s="22">
        <v>31.670000099999999</v>
      </c>
      <c r="V2016" s="22">
        <v>30.7399998</v>
      </c>
      <c r="W2016" s="22">
        <v>31.610000599999999</v>
      </c>
      <c r="X2016" s="22">
        <v>28.825780900000002</v>
      </c>
      <c r="Y2016" s="22">
        <v>716700</v>
      </c>
      <c r="Z2016" s="22">
        <v>1.6725609999999998E-2</v>
      </c>
    </row>
    <row r="2017" spans="19:26" ht="16" x14ac:dyDescent="0.2">
      <c r="S2017" s="23">
        <v>45062</v>
      </c>
      <c r="T2017" s="22">
        <v>31.5599995</v>
      </c>
      <c r="U2017" s="22">
        <v>31.719999300000001</v>
      </c>
      <c r="V2017" s="22">
        <v>31.090000199999999</v>
      </c>
      <c r="W2017" s="22">
        <v>31.1800003</v>
      </c>
      <c r="X2017" s="22">
        <v>28.4336567</v>
      </c>
      <c r="Y2017" s="22">
        <v>927800</v>
      </c>
      <c r="Z2017" s="22">
        <v>-1.3603199999999999E-2</v>
      </c>
    </row>
    <row r="2018" spans="19:26" ht="16" x14ac:dyDescent="0.2">
      <c r="S2018" s="23">
        <v>45063</v>
      </c>
      <c r="T2018" s="22">
        <v>31.4300003</v>
      </c>
      <c r="U2018" s="22">
        <v>31.4300003</v>
      </c>
      <c r="V2018" s="22">
        <v>30.659999800000001</v>
      </c>
      <c r="W2018" s="22">
        <v>30.780000699999999</v>
      </c>
      <c r="X2018" s="22">
        <v>28.0688858</v>
      </c>
      <c r="Y2018" s="22">
        <v>682500</v>
      </c>
      <c r="Z2018" s="22">
        <v>-1.28288E-2</v>
      </c>
    </row>
    <row r="2019" spans="19:26" ht="16" x14ac:dyDescent="0.2">
      <c r="S2019" s="23">
        <v>45064</v>
      </c>
      <c r="T2019" s="22">
        <v>30.600000399999999</v>
      </c>
      <c r="U2019" s="22">
        <v>30.7399998</v>
      </c>
      <c r="V2019" s="22">
        <v>30.1800003</v>
      </c>
      <c r="W2019" s="22">
        <v>30.6200008</v>
      </c>
      <c r="X2019" s="22">
        <v>27.922979399999999</v>
      </c>
      <c r="Y2019" s="22">
        <v>634000</v>
      </c>
      <c r="Z2019" s="22">
        <v>-5.1982E-3</v>
      </c>
    </row>
    <row r="2020" spans="19:26" ht="16" x14ac:dyDescent="0.2">
      <c r="S2020" s="23">
        <v>45065</v>
      </c>
      <c r="T2020" s="22">
        <v>30.8700008</v>
      </c>
      <c r="U2020" s="22">
        <v>30.9899998</v>
      </c>
      <c r="V2020" s="22">
        <v>29.799999199999998</v>
      </c>
      <c r="W2020" s="22">
        <v>29.950000800000002</v>
      </c>
      <c r="X2020" s="22">
        <v>27.311994599999998</v>
      </c>
      <c r="Y2020" s="22">
        <v>763900</v>
      </c>
      <c r="Z2020" s="22">
        <v>-2.1881100000000001E-2</v>
      </c>
    </row>
    <row r="2021" spans="19:26" ht="16" x14ac:dyDescent="0.2">
      <c r="S2021" s="23">
        <v>45068</v>
      </c>
      <c r="T2021" s="22">
        <v>30.030000699999999</v>
      </c>
      <c r="U2021" s="22">
        <v>30.219999300000001</v>
      </c>
      <c r="V2021" s="22">
        <v>29.799999199999998</v>
      </c>
      <c r="W2021" s="22">
        <v>30</v>
      </c>
      <c r="X2021" s="22">
        <v>27.357591599999999</v>
      </c>
      <c r="Y2021" s="22">
        <v>680900</v>
      </c>
      <c r="Z2021" s="22">
        <v>1.66949E-3</v>
      </c>
    </row>
    <row r="2022" spans="19:26" ht="16" x14ac:dyDescent="0.2">
      <c r="S2022" s="23">
        <v>45069</v>
      </c>
      <c r="T2022" s="22">
        <v>29.920000099999999</v>
      </c>
      <c r="U2022" s="22">
        <v>30.579999900000001</v>
      </c>
      <c r="V2022" s="22">
        <v>29.920000099999999</v>
      </c>
      <c r="W2022" s="22">
        <v>30.0699997</v>
      </c>
      <c r="X2022" s="22">
        <v>27.421424900000002</v>
      </c>
      <c r="Y2022" s="22">
        <v>651800</v>
      </c>
      <c r="Z2022" s="22">
        <v>2.33329E-3</v>
      </c>
    </row>
    <row r="2023" spans="19:26" ht="16" x14ac:dyDescent="0.2">
      <c r="S2023" s="23">
        <v>45070</v>
      </c>
      <c r="T2023" s="22">
        <v>29.889999400000001</v>
      </c>
      <c r="U2023" s="22">
        <v>30.0699997</v>
      </c>
      <c r="V2023" s="22">
        <v>29.600000399999999</v>
      </c>
      <c r="W2023" s="22">
        <v>29.610000599999999</v>
      </c>
      <c r="X2023" s="22">
        <v>27.001943600000001</v>
      </c>
      <c r="Y2023" s="22">
        <v>610500</v>
      </c>
      <c r="Z2023" s="22">
        <v>-1.52976E-2</v>
      </c>
    </row>
    <row r="2024" spans="19:26" ht="16" x14ac:dyDescent="0.2">
      <c r="S2024" s="23">
        <v>45071</v>
      </c>
      <c r="T2024" s="22">
        <v>29.5</v>
      </c>
      <c r="U2024" s="22">
        <v>29.579999900000001</v>
      </c>
      <c r="V2024" s="22">
        <v>28.969999300000001</v>
      </c>
      <c r="W2024" s="22">
        <v>29.290000899999999</v>
      </c>
      <c r="X2024" s="22">
        <v>26.710130700000001</v>
      </c>
      <c r="Y2024" s="22">
        <v>618200</v>
      </c>
      <c r="Z2024" s="22">
        <v>-1.08071E-2</v>
      </c>
    </row>
    <row r="2025" spans="19:26" ht="16" x14ac:dyDescent="0.2">
      <c r="S2025" s="23">
        <v>45072</v>
      </c>
      <c r="T2025" s="22">
        <v>29.360000599999999</v>
      </c>
      <c r="U2025" s="22">
        <v>29.360000599999999</v>
      </c>
      <c r="V2025" s="22">
        <v>28.899999600000001</v>
      </c>
      <c r="W2025" s="22">
        <v>29.219999300000001</v>
      </c>
      <c r="X2025" s="22">
        <v>26.6462936</v>
      </c>
      <c r="Y2025" s="22">
        <v>469300</v>
      </c>
      <c r="Z2025" s="22">
        <v>-2.3900000000000002E-3</v>
      </c>
    </row>
    <row r="2026" spans="19:26" ht="16" x14ac:dyDescent="0.2">
      <c r="S2026" s="23">
        <v>45076</v>
      </c>
      <c r="T2026" s="22">
        <v>29.3700008</v>
      </c>
      <c r="U2026" s="22">
        <v>29.590000199999999</v>
      </c>
      <c r="V2026" s="22">
        <v>29.110000599999999</v>
      </c>
      <c r="W2026" s="22">
        <v>29.270000499999998</v>
      </c>
      <c r="X2026" s="22">
        <v>26.691888800000001</v>
      </c>
      <c r="Y2026" s="22">
        <v>596900</v>
      </c>
      <c r="Z2026" s="22">
        <v>1.7111299999999999E-3</v>
      </c>
    </row>
    <row r="2027" spans="19:26" ht="16" x14ac:dyDescent="0.2">
      <c r="S2027" s="23">
        <v>45077</v>
      </c>
      <c r="T2027" s="22">
        <v>28.729999500000002</v>
      </c>
      <c r="U2027" s="22">
        <v>28.860000599999999</v>
      </c>
      <c r="V2027" s="22">
        <v>28.3799992</v>
      </c>
      <c r="W2027" s="22">
        <v>28.729999500000002</v>
      </c>
      <c r="X2027" s="22">
        <v>26.5459003</v>
      </c>
      <c r="Y2027" s="22">
        <v>954600</v>
      </c>
      <c r="Z2027" s="22">
        <v>-5.4694000000000001E-3</v>
      </c>
    </row>
    <row r="2028" spans="19:26" ht="16" x14ac:dyDescent="0.2">
      <c r="S2028" s="23">
        <v>45078</v>
      </c>
      <c r="T2028" s="22">
        <v>28.799999199999998</v>
      </c>
      <c r="U2028" s="22">
        <v>29.229999500000002</v>
      </c>
      <c r="V2028" s="22">
        <v>28.520000499999998</v>
      </c>
      <c r="W2028" s="22">
        <v>29.0599995</v>
      </c>
      <c r="X2028" s="22">
        <v>26.850812900000001</v>
      </c>
      <c r="Y2028" s="22">
        <v>482100</v>
      </c>
      <c r="Z2028" s="22">
        <v>1.148624E-2</v>
      </c>
    </row>
    <row r="2029" spans="19:26" ht="16" x14ac:dyDescent="0.2">
      <c r="S2029" s="23">
        <v>45079</v>
      </c>
      <c r="T2029" s="22">
        <v>29.229999500000002</v>
      </c>
      <c r="U2029" s="22">
        <v>29.9300003</v>
      </c>
      <c r="V2029" s="22">
        <v>29.100000399999999</v>
      </c>
      <c r="W2029" s="22">
        <v>29.8700008</v>
      </c>
      <c r="X2029" s="22">
        <v>27.599235499999999</v>
      </c>
      <c r="Y2029" s="22">
        <v>835300</v>
      </c>
      <c r="Z2029" s="22">
        <v>2.7873370000000001E-2</v>
      </c>
    </row>
    <row r="2030" spans="19:26" ht="16" x14ac:dyDescent="0.2">
      <c r="S2030" s="23">
        <v>45082</v>
      </c>
      <c r="T2030" s="22">
        <v>29.799999199999998</v>
      </c>
      <c r="U2030" s="22">
        <v>30.3199997</v>
      </c>
      <c r="V2030" s="22">
        <v>29.799999199999998</v>
      </c>
      <c r="W2030" s="22">
        <v>30.079999900000001</v>
      </c>
      <c r="X2030" s="22">
        <v>27.793272000000002</v>
      </c>
      <c r="Y2030" s="22">
        <v>951900</v>
      </c>
      <c r="Z2030" s="22">
        <v>7.0305000000000003E-3</v>
      </c>
    </row>
    <row r="2031" spans="19:26" ht="16" x14ac:dyDescent="0.2">
      <c r="S2031" s="23">
        <v>45083</v>
      </c>
      <c r="T2031" s="22">
        <v>30.100000399999999</v>
      </c>
      <c r="U2031" s="22">
        <v>30.5599995</v>
      </c>
      <c r="V2031" s="22">
        <v>29.850000399999999</v>
      </c>
      <c r="W2031" s="22">
        <v>30.3799992</v>
      </c>
      <c r="X2031" s="22">
        <v>28.070463199999999</v>
      </c>
      <c r="Y2031" s="22">
        <v>927700</v>
      </c>
      <c r="Z2031" s="22">
        <v>9.9733200000000008E-3</v>
      </c>
    </row>
    <row r="2032" spans="19:26" ht="16" x14ac:dyDescent="0.2">
      <c r="S2032" s="23">
        <v>45084</v>
      </c>
      <c r="T2032" s="22">
        <v>30.6200008</v>
      </c>
      <c r="U2032" s="22">
        <v>30.829999900000001</v>
      </c>
      <c r="V2032" s="22">
        <v>30.4400005</v>
      </c>
      <c r="W2032" s="22">
        <v>30.709999100000001</v>
      </c>
      <c r="X2032" s="22">
        <v>28.375377700000001</v>
      </c>
      <c r="Y2032" s="22">
        <v>946500</v>
      </c>
      <c r="Z2032" s="22">
        <v>1.0862470000000001E-2</v>
      </c>
    </row>
    <row r="2033" spans="19:26" ht="16" x14ac:dyDescent="0.2">
      <c r="S2033" s="23">
        <v>45085</v>
      </c>
      <c r="T2033" s="22">
        <v>30.530000699999999</v>
      </c>
      <c r="U2033" s="22">
        <v>30.6200008</v>
      </c>
      <c r="V2033" s="22">
        <v>30.0599995</v>
      </c>
      <c r="W2033" s="22">
        <v>30.159999800000001</v>
      </c>
      <c r="X2033" s="22">
        <v>27.867191300000002</v>
      </c>
      <c r="Y2033" s="22">
        <v>625300</v>
      </c>
      <c r="Z2033" s="22">
        <v>-1.7909399999999999E-2</v>
      </c>
    </row>
    <row r="2034" spans="19:26" ht="16" x14ac:dyDescent="0.2">
      <c r="S2034" s="23">
        <v>45086</v>
      </c>
      <c r="T2034" s="22">
        <v>30.2399998</v>
      </c>
      <c r="U2034" s="22">
        <v>30.2600002</v>
      </c>
      <c r="V2034" s="22">
        <v>29.280000699999999</v>
      </c>
      <c r="W2034" s="22">
        <v>29.549999199999998</v>
      </c>
      <c r="X2034" s="22">
        <v>27.303562199999998</v>
      </c>
      <c r="Y2034" s="22">
        <v>697800</v>
      </c>
      <c r="Z2034" s="22">
        <v>-2.02255E-2</v>
      </c>
    </row>
    <row r="2035" spans="19:26" ht="16" x14ac:dyDescent="0.2">
      <c r="S2035" s="23">
        <v>45089</v>
      </c>
      <c r="T2035" s="22">
        <v>29.549999199999998</v>
      </c>
      <c r="U2035" s="22">
        <v>30.3199997</v>
      </c>
      <c r="V2035" s="22">
        <v>29.3799992</v>
      </c>
      <c r="W2035" s="22">
        <v>29.920000099999999</v>
      </c>
      <c r="X2035" s="22">
        <v>27.645435299999999</v>
      </c>
      <c r="Y2035" s="22">
        <v>1099600</v>
      </c>
      <c r="Z2035" s="22">
        <v>1.252119E-2</v>
      </c>
    </row>
    <row r="2036" spans="19:26" ht="16" x14ac:dyDescent="0.2">
      <c r="S2036" s="23">
        <v>45090</v>
      </c>
      <c r="T2036" s="22">
        <v>29.899999600000001</v>
      </c>
      <c r="U2036" s="22">
        <v>30.159999800000001</v>
      </c>
      <c r="V2036" s="22">
        <v>29.700000800000002</v>
      </c>
      <c r="W2036" s="22">
        <v>29.9300003</v>
      </c>
      <c r="X2036" s="22">
        <v>27.654674499999999</v>
      </c>
      <c r="Y2036" s="22">
        <v>569000</v>
      </c>
      <c r="Z2036" s="22">
        <v>3.3419999999999999E-4</v>
      </c>
    </row>
    <row r="2037" spans="19:26" ht="16" x14ac:dyDescent="0.2">
      <c r="S2037" s="23">
        <v>45091</v>
      </c>
      <c r="T2037" s="22">
        <v>29.8799992</v>
      </c>
      <c r="U2037" s="22">
        <v>30.209999100000001</v>
      </c>
      <c r="V2037" s="22">
        <v>29.6800003</v>
      </c>
      <c r="W2037" s="22">
        <v>29.75</v>
      </c>
      <c r="X2037" s="22">
        <v>27.488359500000001</v>
      </c>
      <c r="Y2037" s="22">
        <v>619800</v>
      </c>
      <c r="Z2037" s="22">
        <v>-6.0140000000000002E-3</v>
      </c>
    </row>
    <row r="2038" spans="19:26" ht="16" x14ac:dyDescent="0.2">
      <c r="S2038" s="23">
        <v>45092</v>
      </c>
      <c r="T2038" s="22">
        <v>29.790000899999999</v>
      </c>
      <c r="U2038" s="22">
        <v>30.020000499999998</v>
      </c>
      <c r="V2038" s="22">
        <v>29.6900005</v>
      </c>
      <c r="W2038" s="22">
        <v>29.9899998</v>
      </c>
      <c r="X2038" s="22">
        <v>27.710113499999999</v>
      </c>
      <c r="Y2038" s="22">
        <v>578200</v>
      </c>
      <c r="Z2038" s="22">
        <v>8.0672000000000001E-3</v>
      </c>
    </row>
    <row r="2039" spans="19:26" ht="16" x14ac:dyDescent="0.2">
      <c r="S2039" s="23">
        <v>45093</v>
      </c>
      <c r="T2039" s="22">
        <v>30.139999400000001</v>
      </c>
      <c r="U2039" s="22">
        <v>30.350000399999999</v>
      </c>
      <c r="V2039" s="22">
        <v>29.850000399999999</v>
      </c>
      <c r="W2039" s="22">
        <v>30.139999400000001</v>
      </c>
      <c r="X2039" s="22">
        <v>27.848709100000001</v>
      </c>
      <c r="Y2039" s="22">
        <v>2421900</v>
      </c>
      <c r="Z2039" s="22">
        <v>5.00162E-3</v>
      </c>
    </row>
    <row r="2040" spans="19:26" ht="16" x14ac:dyDescent="0.2">
      <c r="S2040" s="23">
        <v>45097</v>
      </c>
      <c r="T2040" s="22">
        <v>30.0599995</v>
      </c>
      <c r="U2040" s="22">
        <v>30.090000199999999</v>
      </c>
      <c r="V2040" s="22">
        <v>29.25</v>
      </c>
      <c r="W2040" s="22">
        <v>29.540000899999999</v>
      </c>
      <c r="X2040" s="22">
        <v>27.294324899999999</v>
      </c>
      <c r="Y2040" s="22">
        <v>1021300</v>
      </c>
      <c r="Z2040" s="22">
        <v>-1.9907000000000001E-2</v>
      </c>
    </row>
    <row r="2041" spans="19:26" ht="16" x14ac:dyDescent="0.2">
      <c r="S2041" s="23">
        <v>45098</v>
      </c>
      <c r="T2041" s="22">
        <v>29.3700008</v>
      </c>
      <c r="U2041" s="22">
        <v>29.8799992</v>
      </c>
      <c r="V2041" s="22">
        <v>29.090000199999999</v>
      </c>
      <c r="W2041" s="22">
        <v>29.7600002</v>
      </c>
      <c r="X2041" s="22">
        <v>27.4975986</v>
      </c>
      <c r="Y2041" s="22">
        <v>615200</v>
      </c>
      <c r="Z2041" s="22">
        <v>7.4474700000000003E-3</v>
      </c>
    </row>
    <row r="2042" spans="19:26" ht="16" x14ac:dyDescent="0.2">
      <c r="S2042" s="23">
        <v>45099</v>
      </c>
      <c r="T2042" s="22">
        <v>29.600000399999999</v>
      </c>
      <c r="U2042" s="22">
        <v>29.75</v>
      </c>
      <c r="V2042" s="22">
        <v>28.9899998</v>
      </c>
      <c r="W2042" s="22">
        <v>29.020000499999998</v>
      </c>
      <c r="X2042" s="22">
        <v>26.813854200000002</v>
      </c>
      <c r="Y2042" s="22">
        <v>1456100</v>
      </c>
      <c r="Z2042" s="22">
        <v>-2.4865600000000002E-2</v>
      </c>
    </row>
    <row r="2043" spans="19:26" ht="16" x14ac:dyDescent="0.2">
      <c r="S2043" s="23">
        <v>45100</v>
      </c>
      <c r="T2043" s="22">
        <v>29</v>
      </c>
      <c r="U2043" s="22">
        <v>29.200000800000002</v>
      </c>
      <c r="V2043" s="22">
        <v>28.479999500000002</v>
      </c>
      <c r="W2043" s="22">
        <v>28.5599995</v>
      </c>
      <c r="X2043" s="22">
        <v>26.388822600000001</v>
      </c>
      <c r="Y2043" s="22">
        <v>10555000</v>
      </c>
      <c r="Z2043" s="22">
        <v>-1.5851199999999999E-2</v>
      </c>
    </row>
    <row r="2044" spans="19:26" ht="16" x14ac:dyDescent="0.2">
      <c r="S2044" s="23">
        <v>45103</v>
      </c>
      <c r="T2044" s="22">
        <v>28.7399998</v>
      </c>
      <c r="U2044" s="22">
        <v>29.25</v>
      </c>
      <c r="V2044" s="22">
        <v>28.6200008</v>
      </c>
      <c r="W2044" s="22">
        <v>28.649999600000001</v>
      </c>
      <c r="X2044" s="22">
        <v>26.471983000000002</v>
      </c>
      <c r="Y2044" s="22">
        <v>1579200</v>
      </c>
      <c r="Z2044" s="22">
        <v>3.1513499999999998E-3</v>
      </c>
    </row>
    <row r="2045" spans="19:26" ht="16" x14ac:dyDescent="0.2">
      <c r="S2045" s="23">
        <v>45104</v>
      </c>
      <c r="T2045" s="22">
        <v>28.709999100000001</v>
      </c>
      <c r="U2045" s="22">
        <v>28.889999400000001</v>
      </c>
      <c r="V2045" s="22">
        <v>28.610000599999999</v>
      </c>
      <c r="W2045" s="22">
        <v>28.670000099999999</v>
      </c>
      <c r="X2045" s="22">
        <v>26.490463299999998</v>
      </c>
      <c r="Y2045" s="22">
        <v>797900</v>
      </c>
      <c r="Z2045" s="22">
        <v>6.9811000000000005E-4</v>
      </c>
    </row>
    <row r="2046" spans="19:26" ht="16" x14ac:dyDescent="0.2">
      <c r="S2046" s="23">
        <v>45105</v>
      </c>
      <c r="T2046" s="22">
        <v>28.5699997</v>
      </c>
      <c r="U2046" s="22">
        <v>28.700000800000002</v>
      </c>
      <c r="V2046" s="22">
        <v>28.200000800000002</v>
      </c>
      <c r="W2046" s="22">
        <v>28.229999500000002</v>
      </c>
      <c r="X2046" s="22">
        <v>26.083913800000001</v>
      </c>
      <c r="Y2046" s="22">
        <v>728800</v>
      </c>
      <c r="Z2046" s="22">
        <v>-1.5347E-2</v>
      </c>
    </row>
    <row r="2047" spans="19:26" ht="16" x14ac:dyDescent="0.2">
      <c r="S2047" s="23">
        <v>45106</v>
      </c>
      <c r="T2047" s="22">
        <v>28.159999800000001</v>
      </c>
      <c r="U2047" s="22">
        <v>28.200000800000002</v>
      </c>
      <c r="V2047" s="22">
        <v>27.899999600000001</v>
      </c>
      <c r="W2047" s="22">
        <v>28.0599995</v>
      </c>
      <c r="X2047" s="22">
        <v>25.926836000000002</v>
      </c>
      <c r="Y2047" s="22">
        <v>689600</v>
      </c>
      <c r="Z2047" s="22">
        <v>-6.0219999999999996E-3</v>
      </c>
    </row>
    <row r="2048" spans="19:26" ht="16" x14ac:dyDescent="0.2">
      <c r="S2048" s="23">
        <v>45107</v>
      </c>
      <c r="T2048" s="22">
        <v>28.159999800000001</v>
      </c>
      <c r="U2048" s="22">
        <v>28.600000399999999</v>
      </c>
      <c r="V2048" s="22">
        <v>28.0100002</v>
      </c>
      <c r="W2048" s="22">
        <v>28.5599995</v>
      </c>
      <c r="X2048" s="22">
        <v>26.388822600000001</v>
      </c>
      <c r="Y2048" s="22">
        <v>851400</v>
      </c>
      <c r="Z2048" s="22">
        <v>1.7818859999999999E-2</v>
      </c>
    </row>
    <row r="2049" spans="19:26" ht="16" x14ac:dyDescent="0.2">
      <c r="S2049" s="23">
        <v>45110</v>
      </c>
      <c r="T2049" s="22">
        <v>28.4300003</v>
      </c>
      <c r="U2049" s="22">
        <v>28.7600002</v>
      </c>
      <c r="V2049" s="22">
        <v>28.3099995</v>
      </c>
      <c r="W2049" s="22">
        <v>28.549999199999998</v>
      </c>
      <c r="X2049" s="22">
        <v>26.379585299999999</v>
      </c>
      <c r="Y2049" s="22">
        <v>301800</v>
      </c>
      <c r="Z2049" s="22">
        <v>-3.5E-4</v>
      </c>
    </row>
    <row r="2050" spans="19:26" ht="16" x14ac:dyDescent="0.2">
      <c r="S2050" s="23">
        <v>45112</v>
      </c>
      <c r="T2050" s="22">
        <v>28.4899998</v>
      </c>
      <c r="U2050" s="22">
        <v>28.7399998</v>
      </c>
      <c r="V2050" s="22">
        <v>28.139999400000001</v>
      </c>
      <c r="W2050" s="22">
        <v>28.600000399999999</v>
      </c>
      <c r="X2050" s="22">
        <v>26.425783200000001</v>
      </c>
      <c r="Y2050" s="22">
        <v>810300</v>
      </c>
      <c r="Z2050" s="22">
        <v>1.7512700000000001E-3</v>
      </c>
    </row>
    <row r="2051" spans="19:26" ht="16" x14ac:dyDescent="0.2">
      <c r="S2051" s="23">
        <v>45113</v>
      </c>
      <c r="T2051" s="22">
        <v>28.25</v>
      </c>
      <c r="U2051" s="22">
        <v>28.549999199999998</v>
      </c>
      <c r="V2051" s="22">
        <v>27.520000499999998</v>
      </c>
      <c r="W2051" s="22">
        <v>27.600000399999999</v>
      </c>
      <c r="X2051" s="22">
        <v>25.501806299999998</v>
      </c>
      <c r="Y2051" s="22">
        <v>1487600</v>
      </c>
      <c r="Z2051" s="22">
        <v>-3.4965000000000003E-2</v>
      </c>
    </row>
    <row r="2052" spans="19:26" ht="16" x14ac:dyDescent="0.2">
      <c r="S2052" s="23">
        <v>45114</v>
      </c>
      <c r="T2052" s="22">
        <v>27.600000399999999</v>
      </c>
      <c r="U2052" s="22">
        <v>27.959999100000001</v>
      </c>
      <c r="V2052" s="22">
        <v>27.5599995</v>
      </c>
      <c r="W2052" s="22">
        <v>27.6299992</v>
      </c>
      <c r="X2052" s="22">
        <v>25.5295238</v>
      </c>
      <c r="Y2052" s="22">
        <v>899500</v>
      </c>
      <c r="Z2052" s="22">
        <v>1.0868900000000001E-3</v>
      </c>
    </row>
    <row r="2053" spans="19:26" ht="16" x14ac:dyDescent="0.2">
      <c r="S2053" s="23">
        <v>45117</v>
      </c>
      <c r="T2053" s="22">
        <v>27.5599995</v>
      </c>
      <c r="U2053" s="22">
        <v>27.8199997</v>
      </c>
      <c r="V2053" s="22">
        <v>27.3799992</v>
      </c>
      <c r="W2053" s="22">
        <v>27.590000199999999</v>
      </c>
      <c r="X2053" s="22">
        <v>25.492565200000001</v>
      </c>
      <c r="Y2053" s="22">
        <v>645400</v>
      </c>
      <c r="Z2053" s="22">
        <v>-1.4476999999999999E-3</v>
      </c>
    </row>
    <row r="2054" spans="19:26" ht="16" x14ac:dyDescent="0.2">
      <c r="S2054" s="23">
        <v>45118</v>
      </c>
      <c r="T2054" s="22">
        <v>27.590000199999999</v>
      </c>
      <c r="U2054" s="22">
        <v>27.9400005</v>
      </c>
      <c r="V2054" s="22">
        <v>27.420000099999999</v>
      </c>
      <c r="W2054" s="22">
        <v>27.899999600000001</v>
      </c>
      <c r="X2054" s="22">
        <v>25.778997400000002</v>
      </c>
      <c r="Y2054" s="22">
        <v>899800</v>
      </c>
      <c r="Z2054" s="22">
        <v>1.123591E-2</v>
      </c>
    </row>
    <row r="2055" spans="19:26" ht="16" x14ac:dyDescent="0.2">
      <c r="S2055" s="23">
        <v>45119</v>
      </c>
      <c r="T2055" s="22">
        <v>28.110000599999999</v>
      </c>
      <c r="U2055" s="22">
        <v>28.219999300000001</v>
      </c>
      <c r="V2055" s="22">
        <v>27.8099995</v>
      </c>
      <c r="W2055" s="22">
        <v>28.0100002</v>
      </c>
      <c r="X2055" s="22">
        <v>25.880636200000001</v>
      </c>
      <c r="Y2055" s="22">
        <v>571700</v>
      </c>
      <c r="Z2055" s="22">
        <v>3.9427000000000004E-3</v>
      </c>
    </row>
    <row r="2056" spans="19:26" ht="16" x14ac:dyDescent="0.2">
      <c r="S2056" s="23">
        <v>45120</v>
      </c>
      <c r="T2056" s="22">
        <v>27.950000800000002</v>
      </c>
      <c r="U2056" s="22">
        <v>28.159999800000001</v>
      </c>
      <c r="V2056" s="22">
        <v>27.6200008</v>
      </c>
      <c r="W2056" s="22">
        <v>27.719999300000001</v>
      </c>
      <c r="X2056" s="22">
        <v>25.612682299999999</v>
      </c>
      <c r="Y2056" s="22">
        <v>960300</v>
      </c>
      <c r="Z2056" s="22">
        <v>-1.03534E-2</v>
      </c>
    </row>
    <row r="2057" spans="19:26" ht="16" x14ac:dyDescent="0.2">
      <c r="S2057" s="23">
        <v>45121</v>
      </c>
      <c r="T2057" s="22">
        <v>27.7600002</v>
      </c>
      <c r="U2057" s="22">
        <v>27.7600002</v>
      </c>
      <c r="V2057" s="22">
        <v>26.950000800000002</v>
      </c>
      <c r="W2057" s="22">
        <v>27.2399998</v>
      </c>
      <c r="X2057" s="22">
        <v>25.1691723</v>
      </c>
      <c r="Y2057" s="22">
        <v>1190500</v>
      </c>
      <c r="Z2057" s="22">
        <v>-1.7316000000000002E-2</v>
      </c>
    </row>
    <row r="2058" spans="19:26" ht="16" x14ac:dyDescent="0.2">
      <c r="S2058" s="23">
        <v>45124</v>
      </c>
      <c r="T2058" s="22">
        <v>27.110000599999999</v>
      </c>
      <c r="U2058" s="22">
        <v>27.420000099999999</v>
      </c>
      <c r="V2058" s="22">
        <v>26.8199997</v>
      </c>
      <c r="W2058" s="22">
        <v>27.1900005</v>
      </c>
      <c r="X2058" s="22">
        <v>25.122976300000001</v>
      </c>
      <c r="Y2058" s="22">
        <v>727300</v>
      </c>
      <c r="Z2058" s="22">
        <v>-1.8354000000000001E-3</v>
      </c>
    </row>
    <row r="2059" spans="19:26" ht="16" x14ac:dyDescent="0.2">
      <c r="S2059" s="23">
        <v>45125</v>
      </c>
      <c r="T2059" s="22">
        <v>27.1800003</v>
      </c>
      <c r="U2059" s="22">
        <v>27.219999300000001</v>
      </c>
      <c r="V2059" s="22">
        <v>26.7399998</v>
      </c>
      <c r="W2059" s="22">
        <v>27.139999400000001</v>
      </c>
      <c r="X2059" s="22">
        <v>25.0767746</v>
      </c>
      <c r="Y2059" s="22">
        <v>1220000</v>
      </c>
      <c r="Z2059" s="22">
        <v>-1.8389999999999999E-3</v>
      </c>
    </row>
    <row r="2060" spans="19:26" ht="16" x14ac:dyDescent="0.2">
      <c r="S2060" s="23">
        <v>45126</v>
      </c>
      <c r="T2060" s="22">
        <v>27.329999900000001</v>
      </c>
      <c r="U2060" s="22">
        <v>27.709999100000001</v>
      </c>
      <c r="V2060" s="22">
        <v>27.170000099999999</v>
      </c>
      <c r="W2060" s="22">
        <v>27.6200008</v>
      </c>
      <c r="X2060" s="22">
        <v>25.520286599999999</v>
      </c>
      <c r="Y2060" s="22">
        <v>1213200</v>
      </c>
      <c r="Z2060" s="22">
        <v>1.7686159999999999E-2</v>
      </c>
    </row>
    <row r="2061" spans="19:26" ht="16" x14ac:dyDescent="0.2">
      <c r="S2061" s="23">
        <v>45127</v>
      </c>
      <c r="T2061" s="22">
        <v>27.5699997</v>
      </c>
      <c r="U2061" s="22">
        <v>27.829999900000001</v>
      </c>
      <c r="V2061" s="22">
        <v>27.340000199999999</v>
      </c>
      <c r="W2061" s="22">
        <v>27.6900005</v>
      </c>
      <c r="X2061" s="22">
        <v>25.5849628</v>
      </c>
      <c r="Y2061" s="22">
        <v>1051300</v>
      </c>
      <c r="Z2061" s="22">
        <v>2.5343100000000001E-3</v>
      </c>
    </row>
    <row r="2062" spans="19:26" ht="16" x14ac:dyDescent="0.2">
      <c r="S2062" s="23">
        <v>45128</v>
      </c>
      <c r="T2062" s="22">
        <v>27.780000699999999</v>
      </c>
      <c r="U2062" s="22">
        <v>28.030000699999999</v>
      </c>
      <c r="V2062" s="22">
        <v>27.6200008</v>
      </c>
      <c r="W2062" s="22">
        <v>27.9400005</v>
      </c>
      <c r="X2062" s="22">
        <v>25.815957999999998</v>
      </c>
      <c r="Y2062" s="22">
        <v>843700</v>
      </c>
      <c r="Z2062" s="22">
        <v>9.0285499999999998E-3</v>
      </c>
    </row>
    <row r="2063" spans="19:26" ht="16" x14ac:dyDescent="0.2">
      <c r="S2063" s="23">
        <v>45131</v>
      </c>
      <c r="T2063" s="22">
        <v>28.0100002</v>
      </c>
      <c r="U2063" s="22">
        <v>28.090000199999999</v>
      </c>
      <c r="V2063" s="22">
        <v>27.649999600000001</v>
      </c>
      <c r="W2063" s="22">
        <v>27.75</v>
      </c>
      <c r="X2063" s="22">
        <v>25.6404037</v>
      </c>
      <c r="Y2063" s="22">
        <v>634800</v>
      </c>
      <c r="Z2063" s="22">
        <v>-6.8002000000000002E-3</v>
      </c>
    </row>
    <row r="2064" spans="19:26" ht="16" x14ac:dyDescent="0.2">
      <c r="S2064" s="23">
        <v>45132</v>
      </c>
      <c r="T2064" s="22">
        <v>27.729999500000002</v>
      </c>
      <c r="U2064" s="22">
        <v>27.780000699999999</v>
      </c>
      <c r="V2064" s="22">
        <v>27.450000800000002</v>
      </c>
      <c r="W2064" s="22">
        <v>27.530000699999999</v>
      </c>
      <c r="X2064" s="22">
        <v>25.437128099999999</v>
      </c>
      <c r="Y2064" s="22">
        <v>645300</v>
      </c>
      <c r="Z2064" s="22">
        <v>-7.9278999999999999E-3</v>
      </c>
    </row>
    <row r="2065" spans="19:26" ht="16" x14ac:dyDescent="0.2">
      <c r="S2065" s="23">
        <v>45133</v>
      </c>
      <c r="T2065" s="22">
        <v>27.450000800000002</v>
      </c>
      <c r="U2065" s="22">
        <v>27.670000099999999</v>
      </c>
      <c r="V2065" s="22">
        <v>27.299999199999998</v>
      </c>
      <c r="W2065" s="22">
        <v>27.3199997</v>
      </c>
      <c r="X2065" s="22">
        <v>25.243093500000001</v>
      </c>
      <c r="Y2065" s="22">
        <v>606700</v>
      </c>
      <c r="Z2065" s="22">
        <v>-7.6280000000000002E-3</v>
      </c>
    </row>
    <row r="2066" spans="19:26" ht="16" x14ac:dyDescent="0.2">
      <c r="S2066" s="23">
        <v>45134</v>
      </c>
      <c r="T2066" s="22">
        <v>27.290000899999999</v>
      </c>
      <c r="U2066" s="22">
        <v>27.389999400000001</v>
      </c>
      <c r="V2066" s="22">
        <v>26.389999400000001</v>
      </c>
      <c r="W2066" s="22">
        <v>26.4300003</v>
      </c>
      <c r="X2066" s="22">
        <v>24.420751599999999</v>
      </c>
      <c r="Y2066" s="22">
        <v>948600</v>
      </c>
      <c r="Z2066" s="22">
        <v>-3.2576899999999999E-2</v>
      </c>
    </row>
    <row r="2067" spans="19:26" ht="16" x14ac:dyDescent="0.2">
      <c r="S2067" s="23">
        <v>45135</v>
      </c>
      <c r="T2067" s="22">
        <v>26.590000199999999</v>
      </c>
      <c r="U2067" s="22">
        <v>26.799999199999998</v>
      </c>
      <c r="V2067" s="22">
        <v>26.030000699999999</v>
      </c>
      <c r="W2067" s="22">
        <v>26.280000699999999</v>
      </c>
      <c r="X2067" s="22">
        <v>24.2821541</v>
      </c>
      <c r="Y2067" s="22">
        <v>897700</v>
      </c>
      <c r="Z2067" s="22">
        <v>-5.6753999999999997E-3</v>
      </c>
    </row>
    <row r="2068" spans="19:26" ht="16" x14ac:dyDescent="0.2">
      <c r="S2068" s="23">
        <v>45138</v>
      </c>
      <c r="T2068" s="22">
        <v>26.540000899999999</v>
      </c>
      <c r="U2068" s="22">
        <v>26.770000499999998</v>
      </c>
      <c r="V2068" s="22">
        <v>26.1900005</v>
      </c>
      <c r="W2068" s="22">
        <v>26.409999800000001</v>
      </c>
      <c r="X2068" s="22">
        <v>24.402271299999999</v>
      </c>
      <c r="Y2068" s="22">
        <v>970000</v>
      </c>
      <c r="Z2068" s="22">
        <v>4.9467299999999999E-3</v>
      </c>
    </row>
    <row r="2069" spans="19:26" ht="16" x14ac:dyDescent="0.2">
      <c r="S2069" s="23">
        <v>45139</v>
      </c>
      <c r="T2069" s="22">
        <v>26.389999400000001</v>
      </c>
      <c r="U2069" s="22">
        <v>26.540000899999999</v>
      </c>
      <c r="V2069" s="22">
        <v>25.7600002</v>
      </c>
      <c r="W2069" s="22">
        <v>25.8099995</v>
      </c>
      <c r="X2069" s="22">
        <v>23.847883199999998</v>
      </c>
      <c r="Y2069" s="22">
        <v>732200</v>
      </c>
      <c r="Z2069" s="22">
        <v>-2.2718700000000001E-2</v>
      </c>
    </row>
    <row r="2070" spans="19:26" ht="16" x14ac:dyDescent="0.2">
      <c r="S2070" s="23">
        <v>45140</v>
      </c>
      <c r="T2070" s="22">
        <v>25.670000099999999</v>
      </c>
      <c r="U2070" s="22">
        <v>25.829999900000001</v>
      </c>
      <c r="V2070" s="22">
        <v>25.139999400000001</v>
      </c>
      <c r="W2070" s="22">
        <v>25.270000499999998</v>
      </c>
      <c r="X2070" s="22">
        <v>23.3489361</v>
      </c>
      <c r="Y2070" s="22">
        <v>885400</v>
      </c>
      <c r="Z2070" s="22">
        <v>-2.0922099999999999E-2</v>
      </c>
    </row>
    <row r="2071" spans="19:26" ht="16" x14ac:dyDescent="0.2">
      <c r="S2071" s="23">
        <v>45141</v>
      </c>
      <c r="T2071" s="22">
        <v>25.270000499999998</v>
      </c>
      <c r="U2071" s="22">
        <v>25.270000499999998</v>
      </c>
      <c r="V2071" s="22">
        <v>24.6299992</v>
      </c>
      <c r="W2071" s="22">
        <v>24.670000099999999</v>
      </c>
      <c r="X2071" s="22">
        <v>22.794547999999999</v>
      </c>
      <c r="Y2071" s="22">
        <v>727400</v>
      </c>
      <c r="Z2071" s="22">
        <v>-2.37436E-2</v>
      </c>
    </row>
    <row r="2072" spans="19:26" ht="16" x14ac:dyDescent="0.2">
      <c r="S2072" s="23">
        <v>45142</v>
      </c>
      <c r="T2072" s="22">
        <v>24.670000099999999</v>
      </c>
      <c r="U2072" s="22">
        <v>25.0699997</v>
      </c>
      <c r="V2072" s="22">
        <v>24.579999900000001</v>
      </c>
      <c r="W2072" s="22">
        <v>24.9300003</v>
      </c>
      <c r="X2072" s="22">
        <v>23.034784299999998</v>
      </c>
      <c r="Y2072" s="22">
        <v>898500</v>
      </c>
      <c r="Z2072" s="22">
        <v>1.05392E-2</v>
      </c>
    </row>
    <row r="2073" spans="19:26" ht="16" x14ac:dyDescent="0.2">
      <c r="S2073" s="23">
        <v>45145</v>
      </c>
      <c r="T2073" s="22">
        <v>24.8700008</v>
      </c>
      <c r="U2073" s="22">
        <v>25.0599995</v>
      </c>
      <c r="V2073" s="22">
        <v>24.610000599999999</v>
      </c>
      <c r="W2073" s="22">
        <v>24.8799992</v>
      </c>
      <c r="X2073" s="22">
        <v>22.988584500000002</v>
      </c>
      <c r="Y2073" s="22">
        <v>732200</v>
      </c>
      <c r="Z2073" s="22">
        <v>-2.0057E-3</v>
      </c>
    </row>
    <row r="2074" spans="19:26" ht="16" x14ac:dyDescent="0.2">
      <c r="S2074" s="23">
        <v>45146</v>
      </c>
      <c r="T2074" s="22">
        <v>24.549999199999998</v>
      </c>
      <c r="U2074" s="22">
        <v>24.5599995</v>
      </c>
      <c r="V2074" s="22">
        <v>23.600000399999999</v>
      </c>
      <c r="W2074" s="22">
        <v>24.450000800000002</v>
      </c>
      <c r="X2074" s="22">
        <v>22.591276199999999</v>
      </c>
      <c r="Y2074" s="22">
        <v>1541200</v>
      </c>
      <c r="Z2074" s="22">
        <v>-1.72829E-2</v>
      </c>
    </row>
    <row r="2075" spans="19:26" ht="16" x14ac:dyDescent="0.2">
      <c r="S2075" s="23">
        <v>45147</v>
      </c>
      <c r="T2075" s="22">
        <v>24.520000499999998</v>
      </c>
      <c r="U2075" s="22">
        <v>25.469999300000001</v>
      </c>
      <c r="V2075" s="22">
        <v>24.350000399999999</v>
      </c>
      <c r="W2075" s="22">
        <v>25.25</v>
      </c>
      <c r="X2075" s="22">
        <v>23.330455799999999</v>
      </c>
      <c r="Y2075" s="22">
        <v>1333200</v>
      </c>
      <c r="Z2075" s="22">
        <v>3.2719690000000003E-2</v>
      </c>
    </row>
    <row r="2076" spans="19:26" ht="16" x14ac:dyDescent="0.2">
      <c r="S2076" s="23">
        <v>45148</v>
      </c>
      <c r="T2076" s="22">
        <v>25.290000899999999</v>
      </c>
      <c r="U2076" s="22">
        <v>25.700000800000002</v>
      </c>
      <c r="V2076" s="22">
        <v>25.229999500000002</v>
      </c>
      <c r="W2076" s="22">
        <v>25.3799992</v>
      </c>
      <c r="X2076" s="22">
        <v>23.450571100000001</v>
      </c>
      <c r="Y2076" s="22">
        <v>908100</v>
      </c>
      <c r="Z2076" s="22">
        <v>5.1484299999999998E-3</v>
      </c>
    </row>
    <row r="2077" spans="19:26" ht="16" x14ac:dyDescent="0.2">
      <c r="S2077" s="23">
        <v>45149</v>
      </c>
      <c r="T2077" s="22">
        <v>25.399999600000001</v>
      </c>
      <c r="U2077" s="22">
        <v>25.7600002</v>
      </c>
      <c r="V2077" s="22">
        <v>25.1900005</v>
      </c>
      <c r="W2077" s="22">
        <v>25.5699997</v>
      </c>
      <c r="X2077" s="22">
        <v>23.626129200000001</v>
      </c>
      <c r="Y2077" s="22">
        <v>781500</v>
      </c>
      <c r="Z2077" s="22">
        <v>7.4863000000000004E-3</v>
      </c>
    </row>
    <row r="2078" spans="19:26" ht="16" x14ac:dyDescent="0.2">
      <c r="S2078" s="23">
        <v>45152</v>
      </c>
      <c r="T2078" s="22">
        <v>25.4899998</v>
      </c>
      <c r="U2078" s="22">
        <v>25.5</v>
      </c>
      <c r="V2078" s="22">
        <v>24.959999100000001</v>
      </c>
      <c r="W2078" s="22">
        <v>25.329999900000001</v>
      </c>
      <c r="X2078" s="22">
        <v>23.404375099999999</v>
      </c>
      <c r="Y2078" s="22">
        <v>1008300</v>
      </c>
      <c r="Z2078" s="22">
        <v>-9.3860000000000002E-3</v>
      </c>
    </row>
    <row r="2079" spans="19:26" ht="16" x14ac:dyDescent="0.2">
      <c r="S2079" s="23">
        <v>45153</v>
      </c>
      <c r="T2079" s="22">
        <v>25.090000199999999</v>
      </c>
      <c r="U2079" s="22">
        <v>25.159999800000001</v>
      </c>
      <c r="V2079" s="22">
        <v>24.790000899999999</v>
      </c>
      <c r="W2079" s="22">
        <v>24.950000800000002</v>
      </c>
      <c r="X2079" s="22">
        <v>23.053262700000001</v>
      </c>
      <c r="Y2079" s="22">
        <v>918400</v>
      </c>
      <c r="Z2079" s="22">
        <v>-1.5002E-2</v>
      </c>
    </row>
    <row r="2080" spans="19:26" ht="16" x14ac:dyDescent="0.2">
      <c r="S2080" s="23">
        <v>45154</v>
      </c>
      <c r="T2080" s="22">
        <v>24.920000099999999</v>
      </c>
      <c r="U2080" s="22">
        <v>25.040000899999999</v>
      </c>
      <c r="V2080" s="22">
        <v>24.600000399999999</v>
      </c>
      <c r="W2080" s="22">
        <v>24.780000699999999</v>
      </c>
      <c r="X2080" s="22">
        <v>22.896184900000002</v>
      </c>
      <c r="Y2080" s="22">
        <v>893000</v>
      </c>
      <c r="Z2080" s="22">
        <v>-6.8136999999999998E-3</v>
      </c>
    </row>
    <row r="2081" spans="19:26" ht="16" x14ac:dyDescent="0.2">
      <c r="S2081" s="23">
        <v>45155</v>
      </c>
      <c r="T2081" s="22">
        <v>24.979999500000002</v>
      </c>
      <c r="U2081" s="22">
        <v>25.079999900000001</v>
      </c>
      <c r="V2081" s="22">
        <v>24.3099995</v>
      </c>
      <c r="W2081" s="22">
        <v>24.389999400000001</v>
      </c>
      <c r="X2081" s="22">
        <v>22.5358315</v>
      </c>
      <c r="Y2081" s="22">
        <v>766600</v>
      </c>
      <c r="Z2081" s="22">
        <v>-1.5738599999999998E-2</v>
      </c>
    </row>
    <row r="2082" spans="19:26" ht="16" x14ac:dyDescent="0.2">
      <c r="S2082" s="23">
        <v>45156</v>
      </c>
      <c r="T2082" s="22">
        <v>24.2600002</v>
      </c>
      <c r="U2082" s="22">
        <v>24.540000899999999</v>
      </c>
      <c r="V2082" s="22">
        <v>24.1900005</v>
      </c>
      <c r="W2082" s="22">
        <v>24.2600002</v>
      </c>
      <c r="X2082" s="22">
        <v>22.415714300000001</v>
      </c>
      <c r="Y2082" s="22">
        <v>1151800</v>
      </c>
      <c r="Z2082" s="22">
        <v>-5.3300999999999999E-3</v>
      </c>
    </row>
    <row r="2083" spans="19:26" ht="16" x14ac:dyDescent="0.2">
      <c r="S2083" s="23">
        <v>45159</v>
      </c>
      <c r="T2083" s="22">
        <v>24.149999600000001</v>
      </c>
      <c r="U2083" s="22">
        <v>24.2600002</v>
      </c>
      <c r="V2083" s="22">
        <v>23.8099995</v>
      </c>
      <c r="W2083" s="22">
        <v>23.950000800000002</v>
      </c>
      <c r="X2083" s="22">
        <v>22.129282</v>
      </c>
      <c r="Y2083" s="22">
        <v>848400</v>
      </c>
      <c r="Z2083" s="22">
        <v>-1.27782E-2</v>
      </c>
    </row>
    <row r="2084" spans="19:26" ht="16" x14ac:dyDescent="0.2">
      <c r="S2084" s="23">
        <v>45160</v>
      </c>
      <c r="T2084" s="22">
        <v>23.969999300000001</v>
      </c>
      <c r="U2084" s="22">
        <v>24.270000499999998</v>
      </c>
      <c r="V2084" s="22">
        <v>23.709999100000001</v>
      </c>
      <c r="W2084" s="22">
        <v>24</v>
      </c>
      <c r="X2084" s="22">
        <v>22.175483700000001</v>
      </c>
      <c r="Y2084" s="22">
        <v>1184600</v>
      </c>
      <c r="Z2084" s="22">
        <v>2.0878099999999998E-3</v>
      </c>
    </row>
    <row r="2085" spans="19:26" ht="16" x14ac:dyDescent="0.2">
      <c r="S2085" s="23">
        <v>45161</v>
      </c>
      <c r="T2085" s="22">
        <v>24.149999600000001</v>
      </c>
      <c r="U2085" s="22">
        <v>24.780000699999999</v>
      </c>
      <c r="V2085" s="22">
        <v>24</v>
      </c>
      <c r="W2085" s="22">
        <v>24.770000499999998</v>
      </c>
      <c r="X2085" s="22">
        <v>22.886945699999998</v>
      </c>
      <c r="Y2085" s="22">
        <v>1378100</v>
      </c>
      <c r="Z2085" s="22">
        <v>3.2083269999999997E-2</v>
      </c>
    </row>
    <row r="2086" spans="19:26" ht="16" x14ac:dyDescent="0.2">
      <c r="S2086" s="23">
        <v>45162</v>
      </c>
      <c r="T2086" s="22">
        <v>24.75</v>
      </c>
      <c r="U2086" s="22">
        <v>24.9899998</v>
      </c>
      <c r="V2086" s="22">
        <v>24.659999800000001</v>
      </c>
      <c r="W2086" s="22">
        <v>24.709999100000001</v>
      </c>
      <c r="X2086" s="22">
        <v>22.831506699999998</v>
      </c>
      <c r="Y2086" s="22">
        <v>1007600</v>
      </c>
      <c r="Z2086" s="22">
        <v>-2.4223000000000001E-3</v>
      </c>
    </row>
    <row r="2087" spans="19:26" ht="16" x14ac:dyDescent="0.2">
      <c r="S2087" s="23">
        <v>45163</v>
      </c>
      <c r="T2087" s="22">
        <v>24.780000699999999</v>
      </c>
      <c r="U2087" s="22">
        <v>25.100000399999999</v>
      </c>
      <c r="V2087" s="22">
        <v>24.729999500000002</v>
      </c>
      <c r="W2087" s="22">
        <v>24.959999100000001</v>
      </c>
      <c r="X2087" s="22">
        <v>23.062501900000001</v>
      </c>
      <c r="Y2087" s="22">
        <v>483800</v>
      </c>
      <c r="Z2087" s="22">
        <v>1.011739E-2</v>
      </c>
    </row>
    <row r="2088" spans="19:26" ht="16" x14ac:dyDescent="0.2">
      <c r="S2088" s="23">
        <v>45166</v>
      </c>
      <c r="T2088" s="22">
        <v>25.030000699999999</v>
      </c>
      <c r="U2088" s="22">
        <v>25.350000399999999</v>
      </c>
      <c r="V2088" s="22">
        <v>25.020000499999998</v>
      </c>
      <c r="W2088" s="22">
        <v>25.170000099999999</v>
      </c>
      <c r="X2088" s="22">
        <v>23.256536499999999</v>
      </c>
      <c r="Y2088" s="22">
        <v>763300</v>
      </c>
      <c r="Z2088" s="22">
        <v>8.4134199999999996E-3</v>
      </c>
    </row>
    <row r="2089" spans="19:26" ht="16" x14ac:dyDescent="0.2">
      <c r="S2089" s="23">
        <v>45167</v>
      </c>
      <c r="T2089" s="22">
        <v>25.2600002</v>
      </c>
      <c r="U2089" s="22">
        <v>25.659999800000001</v>
      </c>
      <c r="V2089" s="22">
        <v>25.25</v>
      </c>
      <c r="W2089" s="22">
        <v>25.4400005</v>
      </c>
      <c r="X2089" s="22">
        <v>23.506013899999999</v>
      </c>
      <c r="Y2089" s="22">
        <v>875800</v>
      </c>
      <c r="Z2089" s="22">
        <v>1.0727189999999999E-2</v>
      </c>
    </row>
    <row r="2090" spans="19:26" ht="16" x14ac:dyDescent="0.2">
      <c r="S2090" s="23">
        <v>45168</v>
      </c>
      <c r="T2090" s="22">
        <v>25.340000199999999</v>
      </c>
      <c r="U2090" s="22">
        <v>25.469999300000001</v>
      </c>
      <c r="V2090" s="22">
        <v>25.0699997</v>
      </c>
      <c r="W2090" s="22">
        <v>25.1299992</v>
      </c>
      <c r="X2090" s="22">
        <v>23.219575899999999</v>
      </c>
      <c r="Y2090" s="22">
        <v>837200</v>
      </c>
      <c r="Z2090" s="22">
        <v>-1.2185700000000001E-2</v>
      </c>
    </row>
    <row r="2091" spans="19:26" ht="16" x14ac:dyDescent="0.2">
      <c r="S2091" s="23">
        <v>45169</v>
      </c>
      <c r="T2091" s="22">
        <v>24.8799992</v>
      </c>
      <c r="U2091" s="22">
        <v>25.020000499999998</v>
      </c>
      <c r="V2091" s="22">
        <v>24.700000800000002</v>
      </c>
      <c r="W2091" s="22">
        <v>24.770000499999998</v>
      </c>
      <c r="X2091" s="22">
        <v>23.2467957</v>
      </c>
      <c r="Y2091" s="22">
        <v>1047700</v>
      </c>
      <c r="Z2091" s="22">
        <v>1.1722799999999999E-3</v>
      </c>
    </row>
    <row r="2092" spans="19:26" ht="16" x14ac:dyDescent="0.2">
      <c r="S2092" s="23">
        <v>45170</v>
      </c>
      <c r="T2092" s="22">
        <v>25.0100002</v>
      </c>
      <c r="U2092" s="22">
        <v>25.090000199999999</v>
      </c>
      <c r="V2092" s="22">
        <v>24.399999600000001</v>
      </c>
      <c r="W2092" s="22">
        <v>24.5599995</v>
      </c>
      <c r="X2092" s="22">
        <v>23.049705500000002</v>
      </c>
      <c r="Y2092" s="22">
        <v>610900</v>
      </c>
      <c r="Z2092" s="22">
        <v>-8.4782E-3</v>
      </c>
    </row>
    <row r="2093" spans="19:26" ht="16" x14ac:dyDescent="0.2">
      <c r="S2093" s="23">
        <v>45174</v>
      </c>
      <c r="T2093" s="22">
        <v>24.469999300000001</v>
      </c>
      <c r="U2093" s="22">
        <v>24.7600002</v>
      </c>
      <c r="V2093" s="22">
        <v>24.0699997</v>
      </c>
      <c r="W2093" s="22">
        <v>24.2399998</v>
      </c>
      <c r="X2093" s="22">
        <v>22.749385799999999</v>
      </c>
      <c r="Y2093" s="22">
        <v>802300</v>
      </c>
      <c r="Z2093" s="22">
        <v>-1.3029199999999999E-2</v>
      </c>
    </row>
    <row r="2094" spans="19:26" ht="16" x14ac:dyDescent="0.2">
      <c r="S2094" s="23">
        <v>45175</v>
      </c>
      <c r="T2094" s="22">
        <v>24.200000800000002</v>
      </c>
      <c r="U2094" s="22">
        <v>24.2399998</v>
      </c>
      <c r="V2094" s="22">
        <v>23.6900005</v>
      </c>
      <c r="W2094" s="22">
        <v>23.899999600000001</v>
      </c>
      <c r="X2094" s="22">
        <v>22.430294</v>
      </c>
      <c r="Y2094" s="22">
        <v>640300</v>
      </c>
      <c r="Z2094" s="22">
        <v>-1.40264E-2</v>
      </c>
    </row>
    <row r="2095" spans="19:26" ht="16" x14ac:dyDescent="0.2">
      <c r="S2095" s="23">
        <v>45176</v>
      </c>
      <c r="T2095" s="22">
        <v>23.899999600000001</v>
      </c>
      <c r="U2095" s="22">
        <v>24.049999199999998</v>
      </c>
      <c r="V2095" s="22">
        <v>23.700000800000002</v>
      </c>
      <c r="W2095" s="22">
        <v>23.850000399999999</v>
      </c>
      <c r="X2095" s="22">
        <v>22.383369399999999</v>
      </c>
      <c r="Y2095" s="22">
        <v>1371300</v>
      </c>
      <c r="Z2095" s="22">
        <v>-2.0920000000000001E-3</v>
      </c>
    </row>
    <row r="2096" spans="19:26" ht="16" x14ac:dyDescent="0.2">
      <c r="S2096" s="23">
        <v>45177</v>
      </c>
      <c r="T2096" s="22">
        <v>23.8199997</v>
      </c>
      <c r="U2096" s="22">
        <v>24.170000099999999</v>
      </c>
      <c r="V2096" s="22">
        <v>23.790000899999999</v>
      </c>
      <c r="W2096" s="22">
        <v>24.149999600000001</v>
      </c>
      <c r="X2096" s="22">
        <v>22.664920800000001</v>
      </c>
      <c r="Y2096" s="22">
        <v>701800</v>
      </c>
      <c r="Z2096" s="22">
        <v>1.2578600000000001E-2</v>
      </c>
    </row>
    <row r="2097" spans="19:26" ht="16" x14ac:dyDescent="0.2">
      <c r="S2097" s="23">
        <v>45180</v>
      </c>
      <c r="T2097" s="22">
        <v>24.1200008</v>
      </c>
      <c r="U2097" s="22">
        <v>24.5599995</v>
      </c>
      <c r="V2097" s="22">
        <v>24.1200008</v>
      </c>
      <c r="W2097" s="22">
        <v>24.2600002</v>
      </c>
      <c r="X2097" s="22">
        <v>22.768156099999999</v>
      </c>
      <c r="Y2097" s="22">
        <v>587500</v>
      </c>
      <c r="Z2097" s="22">
        <v>4.55485E-3</v>
      </c>
    </row>
    <row r="2098" spans="19:26" ht="16" x14ac:dyDescent="0.2">
      <c r="S2098" s="23">
        <v>45181</v>
      </c>
      <c r="T2098" s="22">
        <v>24.270000499999998</v>
      </c>
      <c r="U2098" s="22">
        <v>24.530000699999999</v>
      </c>
      <c r="V2098" s="22">
        <v>24.200000800000002</v>
      </c>
      <c r="W2098" s="22">
        <v>24.469999300000001</v>
      </c>
      <c r="X2098" s="22">
        <v>22.965242400000001</v>
      </c>
      <c r="Y2098" s="22">
        <v>746100</v>
      </c>
      <c r="Z2098" s="22">
        <v>8.6562299999999991E-3</v>
      </c>
    </row>
    <row r="2099" spans="19:26" ht="16" x14ac:dyDescent="0.2">
      <c r="S2099" s="23">
        <v>45182</v>
      </c>
      <c r="T2099" s="22">
        <v>24.479999500000002</v>
      </c>
      <c r="U2099" s="22">
        <v>25.020000499999998</v>
      </c>
      <c r="V2099" s="22">
        <v>24.4300003</v>
      </c>
      <c r="W2099" s="22">
        <v>24.850000399999999</v>
      </c>
      <c r="X2099" s="22">
        <v>23.321876499999998</v>
      </c>
      <c r="Y2099" s="22">
        <v>891800</v>
      </c>
      <c r="Z2099" s="22">
        <v>1.5529299999999999E-2</v>
      </c>
    </row>
    <row r="2100" spans="19:26" ht="16" x14ac:dyDescent="0.2">
      <c r="S2100" s="23">
        <v>45183</v>
      </c>
      <c r="T2100" s="22">
        <v>25.020000499999998</v>
      </c>
      <c r="U2100" s="22">
        <v>25.270000499999998</v>
      </c>
      <c r="V2100" s="22">
        <v>24.8799992</v>
      </c>
      <c r="W2100" s="22">
        <v>25.170000099999999</v>
      </c>
      <c r="X2100" s="22">
        <v>23.622196200000001</v>
      </c>
      <c r="Y2100" s="22">
        <v>1120700</v>
      </c>
      <c r="Z2100" s="22">
        <v>1.287717E-2</v>
      </c>
    </row>
    <row r="2101" spans="19:26" ht="16" x14ac:dyDescent="0.2">
      <c r="S2101" s="23">
        <v>45184</v>
      </c>
      <c r="T2101" s="22">
        <v>25.1800003</v>
      </c>
      <c r="U2101" s="22">
        <v>25.540000899999999</v>
      </c>
      <c r="V2101" s="22">
        <v>25.100000399999999</v>
      </c>
      <c r="W2101" s="22">
        <v>25.360000599999999</v>
      </c>
      <c r="X2101" s="22">
        <v>23.800514199999999</v>
      </c>
      <c r="Y2101" s="22">
        <v>1762200</v>
      </c>
      <c r="Z2101" s="22">
        <v>7.5487499999999999E-3</v>
      </c>
    </row>
    <row r="2102" spans="19:26" ht="16" x14ac:dyDescent="0.2">
      <c r="S2102" s="23">
        <v>45187</v>
      </c>
      <c r="T2102" s="22">
        <v>25.229999500000002</v>
      </c>
      <c r="U2102" s="22">
        <v>25.25</v>
      </c>
      <c r="V2102" s="22">
        <v>24.790000899999999</v>
      </c>
      <c r="W2102" s="22">
        <v>24.969999300000001</v>
      </c>
      <c r="X2102" s="22">
        <v>23.434495900000002</v>
      </c>
      <c r="Y2102" s="22">
        <v>892000</v>
      </c>
      <c r="Z2102" s="22">
        <v>-1.5378599999999999E-2</v>
      </c>
    </row>
    <row r="2103" spans="19:26" ht="16" x14ac:dyDescent="0.2">
      <c r="S2103" s="23">
        <v>45188</v>
      </c>
      <c r="T2103" s="22">
        <v>24.979999500000002</v>
      </c>
      <c r="U2103" s="22">
        <v>25.399999600000001</v>
      </c>
      <c r="V2103" s="22">
        <v>24.979999500000002</v>
      </c>
      <c r="W2103" s="22">
        <v>24.9899998</v>
      </c>
      <c r="X2103" s="22">
        <v>23.4532661</v>
      </c>
      <c r="Y2103" s="22">
        <v>868100</v>
      </c>
      <c r="Z2103" s="22">
        <v>8.0097000000000002E-4</v>
      </c>
    </row>
    <row r="2104" spans="19:26" ht="16" x14ac:dyDescent="0.2">
      <c r="S2104" s="23">
        <v>45189</v>
      </c>
      <c r="T2104" s="22">
        <v>24.840000199999999</v>
      </c>
      <c r="U2104" s="22">
        <v>25.0100002</v>
      </c>
      <c r="V2104" s="22">
        <v>24.450000800000002</v>
      </c>
      <c r="W2104" s="22">
        <v>24.860000599999999</v>
      </c>
      <c r="X2104" s="22">
        <v>23.331260700000001</v>
      </c>
      <c r="Y2104" s="22">
        <v>1030500</v>
      </c>
      <c r="Z2104" s="22">
        <v>-5.2021000000000003E-3</v>
      </c>
    </row>
    <row r="2105" spans="19:26" ht="16" x14ac:dyDescent="0.2">
      <c r="S2105" s="23">
        <v>45190</v>
      </c>
      <c r="T2105" s="22">
        <v>24.709999100000001</v>
      </c>
      <c r="U2105" s="22">
        <v>24.709999100000001</v>
      </c>
      <c r="V2105" s="22">
        <v>23.909999800000001</v>
      </c>
      <c r="W2105" s="22">
        <v>23.950000800000002</v>
      </c>
      <c r="X2105" s="22">
        <v>22.477220500000001</v>
      </c>
      <c r="Y2105" s="22">
        <v>853600</v>
      </c>
      <c r="Z2105" s="22">
        <v>-3.6604999999999999E-2</v>
      </c>
    </row>
    <row r="2106" spans="19:26" ht="16" x14ac:dyDescent="0.2">
      <c r="S2106" s="23">
        <v>45191</v>
      </c>
      <c r="T2106" s="22">
        <v>23.899999600000001</v>
      </c>
      <c r="U2106" s="22">
        <v>24.0100002</v>
      </c>
      <c r="V2106" s="22">
        <v>23.5599995</v>
      </c>
      <c r="W2106" s="22">
        <v>23.729999500000002</v>
      </c>
      <c r="X2106" s="22">
        <v>22.270748099999999</v>
      </c>
      <c r="Y2106" s="22">
        <v>808500</v>
      </c>
      <c r="Z2106" s="22">
        <v>-9.1859000000000003E-3</v>
      </c>
    </row>
    <row r="2107" spans="19:26" ht="16" x14ac:dyDescent="0.2">
      <c r="S2107" s="23">
        <v>45194</v>
      </c>
      <c r="T2107" s="22">
        <v>23.549999199999998</v>
      </c>
      <c r="U2107" s="22">
        <v>23.950000800000002</v>
      </c>
      <c r="V2107" s="22">
        <v>23.4899998</v>
      </c>
      <c r="W2107" s="22">
        <v>23.889999400000001</v>
      </c>
      <c r="X2107" s="22">
        <v>22.420909900000002</v>
      </c>
      <c r="Y2107" s="22">
        <v>753300</v>
      </c>
      <c r="Z2107" s="22">
        <v>6.7425499999999999E-3</v>
      </c>
    </row>
    <row r="2108" spans="19:26" ht="16" x14ac:dyDescent="0.2">
      <c r="S2108" s="23">
        <v>45195</v>
      </c>
      <c r="T2108" s="22">
        <v>23.729999500000002</v>
      </c>
      <c r="U2108" s="22">
        <v>23.7399998</v>
      </c>
      <c r="V2108" s="22">
        <v>23.2399998</v>
      </c>
      <c r="W2108" s="22">
        <v>23.2600002</v>
      </c>
      <c r="X2108" s="22">
        <v>21.829652800000002</v>
      </c>
      <c r="Y2108" s="22">
        <v>843400</v>
      </c>
      <c r="Z2108" s="22">
        <v>-2.63708E-2</v>
      </c>
    </row>
    <row r="2109" spans="19:26" ht="16" x14ac:dyDescent="0.2">
      <c r="S2109" s="23">
        <v>45196</v>
      </c>
      <c r="T2109" s="22">
        <v>22.889999400000001</v>
      </c>
      <c r="U2109" s="22">
        <v>22.969999300000001</v>
      </c>
      <c r="V2109" s="22">
        <v>21.3700008</v>
      </c>
      <c r="W2109" s="22">
        <v>21.4899998</v>
      </c>
      <c r="X2109" s="22">
        <v>20.168495199999999</v>
      </c>
      <c r="Y2109" s="22">
        <v>2807600</v>
      </c>
      <c r="Z2109" s="22">
        <v>-7.6096399999999995E-2</v>
      </c>
    </row>
    <row r="2110" spans="19:26" ht="16" x14ac:dyDescent="0.2">
      <c r="S2110" s="23">
        <v>45197</v>
      </c>
      <c r="T2110" s="22">
        <v>21.5599995</v>
      </c>
      <c r="U2110" s="22">
        <v>21.5599995</v>
      </c>
      <c r="V2110" s="22">
        <v>19.790000899999999</v>
      </c>
      <c r="W2110" s="22">
        <v>20.790000899999999</v>
      </c>
      <c r="X2110" s="22">
        <v>19.511541399999999</v>
      </c>
      <c r="Y2110" s="22">
        <v>3832300</v>
      </c>
      <c r="Z2110" s="22">
        <v>-3.2573299999999999E-2</v>
      </c>
    </row>
    <row r="2111" spans="19:26" ht="16" x14ac:dyDescent="0.2">
      <c r="S2111" s="23">
        <v>45198</v>
      </c>
      <c r="T2111" s="22">
        <v>21.079999900000001</v>
      </c>
      <c r="U2111" s="22">
        <v>21.549999199999998</v>
      </c>
      <c r="V2111" s="22">
        <v>20.909999800000001</v>
      </c>
      <c r="W2111" s="22">
        <v>21.159999800000001</v>
      </c>
      <c r="X2111" s="22">
        <v>19.858789399999999</v>
      </c>
      <c r="Y2111" s="22">
        <v>2477300</v>
      </c>
      <c r="Z2111" s="22">
        <v>1.779706E-2</v>
      </c>
    </row>
    <row r="2112" spans="19:26" ht="16" x14ac:dyDescent="0.2">
      <c r="S2112" s="23">
        <v>45201</v>
      </c>
      <c r="T2112" s="22">
        <v>21.1200008</v>
      </c>
      <c r="U2112" s="22">
        <v>21.159999800000001</v>
      </c>
      <c r="V2112" s="22">
        <v>19.610000599999999</v>
      </c>
      <c r="W2112" s="22">
        <v>19.75</v>
      </c>
      <c r="X2112" s="22">
        <v>18.535493899999999</v>
      </c>
      <c r="Y2112" s="22">
        <v>2376600</v>
      </c>
      <c r="Z2112" s="22">
        <v>-6.6635299999999995E-2</v>
      </c>
    </row>
    <row r="2113" spans="19:26" ht="16" x14ac:dyDescent="0.2">
      <c r="S2113" s="23">
        <v>45202</v>
      </c>
      <c r="T2113" s="22">
        <v>19.520000499999998</v>
      </c>
      <c r="U2113" s="22">
        <v>19.530000699999999</v>
      </c>
      <c r="V2113" s="22">
        <v>18.920000099999999</v>
      </c>
      <c r="W2113" s="22">
        <v>19.2600002</v>
      </c>
      <c r="X2113" s="22">
        <v>18.075628300000002</v>
      </c>
      <c r="Y2113" s="22">
        <v>1724700</v>
      </c>
      <c r="Z2113" s="22">
        <v>-2.4809999999999999E-2</v>
      </c>
    </row>
    <row r="2114" spans="19:26" ht="16" x14ac:dyDescent="0.2">
      <c r="S2114" s="23">
        <v>45203</v>
      </c>
      <c r="T2114" s="22">
        <v>19.329999900000001</v>
      </c>
      <c r="U2114" s="22">
        <v>19.610000599999999</v>
      </c>
      <c r="V2114" s="22">
        <v>18.829999900000001</v>
      </c>
      <c r="W2114" s="22">
        <v>19.270000499999998</v>
      </c>
      <c r="X2114" s="22">
        <v>18.0850124</v>
      </c>
      <c r="Y2114" s="22">
        <v>1384800</v>
      </c>
      <c r="Z2114" s="22">
        <v>5.1915999999999996E-4</v>
      </c>
    </row>
    <row r="2115" spans="19:26" ht="16" x14ac:dyDescent="0.2">
      <c r="S2115" s="23">
        <v>45204</v>
      </c>
      <c r="T2115" s="22">
        <v>19.1900005</v>
      </c>
      <c r="U2115" s="22">
        <v>19.25</v>
      </c>
      <c r="V2115" s="22">
        <v>18.590000199999999</v>
      </c>
      <c r="W2115" s="22">
        <v>18.7600002</v>
      </c>
      <c r="X2115" s="22">
        <v>17.606372799999999</v>
      </c>
      <c r="Y2115" s="22">
        <v>1285800</v>
      </c>
      <c r="Z2115" s="22">
        <v>-2.6466099999999999E-2</v>
      </c>
    </row>
    <row r="2116" spans="19:26" ht="16" x14ac:dyDescent="0.2">
      <c r="S2116" s="23">
        <v>45205</v>
      </c>
      <c r="T2116" s="22">
        <v>19</v>
      </c>
      <c r="U2116" s="22">
        <v>21</v>
      </c>
      <c r="V2116" s="22">
        <v>18.8099995</v>
      </c>
      <c r="W2116" s="22">
        <v>20.790000899999999</v>
      </c>
      <c r="X2116" s="22">
        <v>19.511541399999999</v>
      </c>
      <c r="Y2116" s="22">
        <v>2874000</v>
      </c>
      <c r="Z2116" s="22">
        <v>0.10820903</v>
      </c>
    </row>
    <row r="2117" spans="19:26" ht="16" x14ac:dyDescent="0.2">
      <c r="S2117" s="23">
        <v>45208</v>
      </c>
      <c r="T2117" s="22">
        <v>20.850000399999999</v>
      </c>
      <c r="U2117" s="22">
        <v>21.090000199999999</v>
      </c>
      <c r="V2117" s="22">
        <v>20.610000599999999</v>
      </c>
      <c r="W2117" s="22">
        <v>20.920000099999999</v>
      </c>
      <c r="X2117" s="22">
        <v>19.633546800000001</v>
      </c>
      <c r="Y2117" s="22">
        <v>1903700</v>
      </c>
      <c r="Z2117" s="22">
        <v>6.2529899999999999E-3</v>
      </c>
    </row>
    <row r="2118" spans="19:26" ht="16" x14ac:dyDescent="0.2">
      <c r="S2118" s="23">
        <v>45209</v>
      </c>
      <c r="T2118" s="22">
        <v>21.020000499999998</v>
      </c>
      <c r="U2118" s="22">
        <v>22.170000099999999</v>
      </c>
      <c r="V2118" s="22">
        <v>21.020000499999998</v>
      </c>
      <c r="W2118" s="22">
        <v>21.959999100000001</v>
      </c>
      <c r="X2118" s="22">
        <v>20.6095924</v>
      </c>
      <c r="Y2118" s="22">
        <v>2247400</v>
      </c>
      <c r="Z2118" s="22">
        <v>4.9713159999999999E-2</v>
      </c>
    </row>
    <row r="2119" spans="19:26" ht="16" x14ac:dyDescent="0.2">
      <c r="S2119" s="23">
        <v>45210</v>
      </c>
      <c r="T2119" s="22">
        <v>22.1200008</v>
      </c>
      <c r="U2119" s="22">
        <v>22.200000800000002</v>
      </c>
      <c r="V2119" s="22">
        <v>21.780000699999999</v>
      </c>
      <c r="W2119" s="22">
        <v>22.049999199999998</v>
      </c>
      <c r="X2119" s="22">
        <v>20.6940594</v>
      </c>
      <c r="Y2119" s="22">
        <v>1323500</v>
      </c>
      <c r="Z2119" s="22">
        <v>4.0984300000000001E-3</v>
      </c>
    </row>
    <row r="2120" spans="19:26" ht="16" x14ac:dyDescent="0.2">
      <c r="S2120" s="23">
        <v>45211</v>
      </c>
      <c r="T2120" s="22">
        <v>21.840000199999999</v>
      </c>
      <c r="U2120" s="22">
        <v>22.049999199999998</v>
      </c>
      <c r="V2120" s="22">
        <v>21.399999600000001</v>
      </c>
      <c r="W2120" s="22">
        <v>21.6200008</v>
      </c>
      <c r="X2120" s="22">
        <v>20.290502499999999</v>
      </c>
      <c r="Y2120" s="22">
        <v>1233600</v>
      </c>
      <c r="Z2120" s="22">
        <v>-1.95011E-2</v>
      </c>
    </row>
    <row r="2121" spans="19:26" ht="16" x14ac:dyDescent="0.2">
      <c r="S2121" s="23">
        <v>45212</v>
      </c>
      <c r="T2121" s="22">
        <v>21.979999500000002</v>
      </c>
      <c r="U2121" s="22">
        <v>22.110000599999999</v>
      </c>
      <c r="V2121" s="22">
        <v>21.5</v>
      </c>
      <c r="W2121" s="22">
        <v>21.579999900000001</v>
      </c>
      <c r="X2121" s="22">
        <v>20.2529602</v>
      </c>
      <c r="Y2121" s="22">
        <v>1194400</v>
      </c>
      <c r="Z2121" s="22">
        <v>-1.8502E-3</v>
      </c>
    </row>
    <row r="2122" spans="19:26" ht="16" x14ac:dyDescent="0.2">
      <c r="S2122" s="23">
        <v>45215</v>
      </c>
      <c r="T2122" s="22">
        <v>21.8199997</v>
      </c>
      <c r="U2122" s="22">
        <v>22.409999800000001</v>
      </c>
      <c r="V2122" s="22">
        <v>21.469999300000001</v>
      </c>
      <c r="W2122" s="22">
        <v>22.149999600000001</v>
      </c>
      <c r="X2122" s="22">
        <v>20.787910499999999</v>
      </c>
      <c r="Y2122" s="22">
        <v>1996500</v>
      </c>
      <c r="Z2122" s="22">
        <v>2.641344E-2</v>
      </c>
    </row>
    <row r="2123" spans="19:26" ht="16" x14ac:dyDescent="0.2">
      <c r="S2123" s="23">
        <v>45216</v>
      </c>
      <c r="T2123" s="22">
        <v>21.7399998</v>
      </c>
      <c r="U2123" s="22">
        <v>22.229999500000002</v>
      </c>
      <c r="V2123" s="22">
        <v>21.700000800000002</v>
      </c>
      <c r="W2123" s="22">
        <v>22.0100002</v>
      </c>
      <c r="X2123" s="22">
        <v>20.656518899999998</v>
      </c>
      <c r="Y2123" s="22">
        <v>1521500</v>
      </c>
      <c r="Z2123" s="22">
        <v>-6.3206E-3</v>
      </c>
    </row>
    <row r="2124" spans="19:26" ht="16" x14ac:dyDescent="0.2">
      <c r="S2124" s="23">
        <v>45217</v>
      </c>
      <c r="T2124" s="22">
        <v>21.8199997</v>
      </c>
      <c r="U2124" s="22">
        <v>21.920000099999999</v>
      </c>
      <c r="V2124" s="22">
        <v>21.3799992</v>
      </c>
      <c r="W2124" s="22">
        <v>21.590000199999999</v>
      </c>
      <c r="X2124" s="22">
        <v>20.2623444</v>
      </c>
      <c r="Y2124" s="22">
        <v>905300</v>
      </c>
      <c r="Z2124" s="22">
        <v>-1.90823E-2</v>
      </c>
    </row>
    <row r="2125" spans="19:26" ht="16" x14ac:dyDescent="0.2">
      <c r="S2125" s="23">
        <v>45218</v>
      </c>
      <c r="T2125" s="22">
        <v>21.5</v>
      </c>
      <c r="U2125" s="22">
        <v>21.7600002</v>
      </c>
      <c r="V2125" s="22">
        <v>21.270000499999998</v>
      </c>
      <c r="W2125" s="22">
        <v>21.340000199999999</v>
      </c>
      <c r="X2125" s="22">
        <v>20.0277195</v>
      </c>
      <c r="Y2125" s="22">
        <v>1220200</v>
      </c>
      <c r="Z2125" s="22">
        <v>-1.15794E-2</v>
      </c>
    </row>
    <row r="2126" spans="19:26" ht="16" x14ac:dyDescent="0.2">
      <c r="S2126" s="23">
        <v>45219</v>
      </c>
      <c r="T2126" s="22">
        <v>21.2399998</v>
      </c>
      <c r="U2126" s="22">
        <v>21.700000800000002</v>
      </c>
      <c r="V2126" s="22">
        <v>21.139999400000001</v>
      </c>
      <c r="W2126" s="22">
        <v>21.219999300000001</v>
      </c>
      <c r="X2126" s="22">
        <v>19.915096299999998</v>
      </c>
      <c r="Y2126" s="22">
        <v>2832600</v>
      </c>
      <c r="Z2126" s="22">
        <v>-5.6233999999999998E-3</v>
      </c>
    </row>
    <row r="2127" spans="19:26" ht="16" x14ac:dyDescent="0.2">
      <c r="S2127" s="23">
        <v>45222</v>
      </c>
      <c r="T2127" s="22">
        <v>20.950000800000002</v>
      </c>
      <c r="U2127" s="22">
        <v>21.329999900000001</v>
      </c>
      <c r="V2127" s="22">
        <v>20.7600002</v>
      </c>
      <c r="W2127" s="22">
        <v>20.8799992</v>
      </c>
      <c r="X2127" s="22">
        <v>19.596004499999999</v>
      </c>
      <c r="Y2127" s="22">
        <v>829400</v>
      </c>
      <c r="Z2127" s="22">
        <v>-1.6022600000000001E-2</v>
      </c>
    </row>
    <row r="2128" spans="19:26" ht="16" x14ac:dyDescent="0.2">
      <c r="S2128" s="23">
        <v>45223</v>
      </c>
      <c r="T2128" s="22">
        <v>21.329999900000001</v>
      </c>
      <c r="U2128" s="22">
        <v>22.219999300000001</v>
      </c>
      <c r="V2128" s="22">
        <v>21.1200008</v>
      </c>
      <c r="W2128" s="22">
        <v>21.9400005</v>
      </c>
      <c r="X2128" s="22">
        <v>20.590822200000002</v>
      </c>
      <c r="Y2128" s="22">
        <v>1580600</v>
      </c>
      <c r="Z2128" s="22">
        <v>5.0766360000000003E-2</v>
      </c>
    </row>
    <row r="2129" spans="19:26" ht="16" x14ac:dyDescent="0.2">
      <c r="S2129" s="23">
        <v>45224</v>
      </c>
      <c r="T2129" s="22">
        <v>21.75</v>
      </c>
      <c r="U2129" s="22">
        <v>22.079999900000001</v>
      </c>
      <c r="V2129" s="22">
        <v>21.5599995</v>
      </c>
      <c r="W2129" s="22">
        <v>22.020000499999998</v>
      </c>
      <c r="X2129" s="22">
        <v>20.665903100000001</v>
      </c>
      <c r="Y2129" s="22">
        <v>1124500</v>
      </c>
      <c r="Z2129" s="22">
        <v>3.6463300000000001E-3</v>
      </c>
    </row>
    <row r="2130" spans="19:26" ht="16" x14ac:dyDescent="0.2">
      <c r="S2130" s="23">
        <v>45225</v>
      </c>
      <c r="T2130" s="22">
        <v>22.149999600000001</v>
      </c>
      <c r="U2130" s="22">
        <v>22.8700008</v>
      </c>
      <c r="V2130" s="22">
        <v>22.149999600000001</v>
      </c>
      <c r="W2130" s="22">
        <v>22.479999500000002</v>
      </c>
      <c r="X2130" s="22">
        <v>21.097618099999998</v>
      </c>
      <c r="Y2130" s="22">
        <v>1573700</v>
      </c>
      <c r="Z2130" s="22">
        <v>2.0890209999999999E-2</v>
      </c>
    </row>
    <row r="2131" spans="19:26" ht="16" x14ac:dyDescent="0.2">
      <c r="S2131" s="23">
        <v>45226</v>
      </c>
      <c r="T2131" s="22">
        <v>22.340000199999999</v>
      </c>
      <c r="U2131" s="22">
        <v>22.479999500000002</v>
      </c>
      <c r="V2131" s="22">
        <v>21.459999100000001</v>
      </c>
      <c r="W2131" s="22">
        <v>21.549999199999998</v>
      </c>
      <c r="X2131" s="22">
        <v>20.224803900000001</v>
      </c>
      <c r="Y2131" s="22">
        <v>988700</v>
      </c>
      <c r="Z2131" s="22">
        <v>-4.1370299999999999E-2</v>
      </c>
    </row>
    <row r="2132" spans="19:26" ht="16" x14ac:dyDescent="0.2">
      <c r="S2132" s="23">
        <v>45229</v>
      </c>
      <c r="T2132" s="22">
        <v>21.780000699999999</v>
      </c>
      <c r="U2132" s="22">
        <v>22.020000499999998</v>
      </c>
      <c r="V2132" s="22">
        <v>21.520000499999998</v>
      </c>
      <c r="W2132" s="22">
        <v>21.729999500000002</v>
      </c>
      <c r="X2132" s="22">
        <v>20.393733999999998</v>
      </c>
      <c r="Y2132" s="22">
        <v>913700</v>
      </c>
      <c r="Z2132" s="22">
        <v>8.3526199999999998E-3</v>
      </c>
    </row>
    <row r="2133" spans="19:26" ht="16" x14ac:dyDescent="0.2">
      <c r="S2133" s="23">
        <v>45230</v>
      </c>
      <c r="T2133" s="22">
        <v>21.7600002</v>
      </c>
      <c r="U2133" s="22">
        <v>21.9400005</v>
      </c>
      <c r="V2133" s="22">
        <v>21.520000499999998</v>
      </c>
      <c r="W2133" s="22">
        <v>21.709999100000001</v>
      </c>
      <c r="X2133" s="22">
        <v>20.374965700000001</v>
      </c>
      <c r="Y2133" s="22">
        <v>1075800</v>
      </c>
      <c r="Z2133" s="22">
        <v>-9.2029999999999998E-4</v>
      </c>
    </row>
    <row r="2134" spans="19:26" ht="16" x14ac:dyDescent="0.2">
      <c r="S2134" s="23">
        <v>45231</v>
      </c>
      <c r="T2134" s="22">
        <v>21.6800003</v>
      </c>
      <c r="U2134" s="22">
        <v>22.2399998</v>
      </c>
      <c r="V2134" s="22">
        <v>21.4300003</v>
      </c>
      <c r="W2134" s="22">
        <v>22.1200008</v>
      </c>
      <c r="X2134" s="22">
        <v>20.7597542</v>
      </c>
      <c r="Y2134" s="22">
        <v>1000200</v>
      </c>
      <c r="Z2134" s="22">
        <v>1.888536E-2</v>
      </c>
    </row>
    <row r="2135" spans="19:26" ht="16" x14ac:dyDescent="0.2">
      <c r="S2135" s="23">
        <v>45232</v>
      </c>
      <c r="T2135" s="22">
        <v>22.4400005</v>
      </c>
      <c r="U2135" s="22">
        <v>23.0599995</v>
      </c>
      <c r="V2135" s="22">
        <v>22</v>
      </c>
      <c r="W2135" s="22">
        <v>22.770000499999998</v>
      </c>
      <c r="X2135" s="22">
        <v>21.369781499999998</v>
      </c>
      <c r="Y2135" s="22">
        <v>1374300</v>
      </c>
      <c r="Z2135" s="22">
        <v>2.9385089999999999E-2</v>
      </c>
    </row>
    <row r="2136" spans="19:26" ht="16" x14ac:dyDescent="0.2">
      <c r="S2136" s="23">
        <v>45233</v>
      </c>
      <c r="T2136" s="22">
        <v>23.280000699999999</v>
      </c>
      <c r="U2136" s="22">
        <v>23.6800003</v>
      </c>
      <c r="V2136" s="22">
        <v>22.8700008</v>
      </c>
      <c r="W2136" s="22">
        <v>22.8700008</v>
      </c>
      <c r="X2136" s="22">
        <v>21.463634500000001</v>
      </c>
      <c r="Y2136" s="22">
        <v>1196400</v>
      </c>
      <c r="Z2136" s="22">
        <v>4.39186E-3</v>
      </c>
    </row>
    <row r="2137" spans="19:26" ht="16" x14ac:dyDescent="0.2">
      <c r="S2137" s="23">
        <v>45236</v>
      </c>
      <c r="T2137" s="22">
        <v>22.909999800000001</v>
      </c>
      <c r="U2137" s="22">
        <v>22.909999800000001</v>
      </c>
      <c r="V2137" s="22">
        <v>22.329999900000001</v>
      </c>
      <c r="W2137" s="22">
        <v>22.450000800000002</v>
      </c>
      <c r="X2137" s="22">
        <v>21.069461799999999</v>
      </c>
      <c r="Y2137" s="22">
        <v>704700</v>
      </c>
      <c r="Z2137" s="22">
        <v>-1.8364700000000001E-2</v>
      </c>
    </row>
    <row r="2138" spans="19:26" ht="16" x14ac:dyDescent="0.2">
      <c r="S2138" s="23">
        <v>45237</v>
      </c>
      <c r="T2138" s="22">
        <v>22.3799992</v>
      </c>
      <c r="U2138" s="22">
        <v>23.0599995</v>
      </c>
      <c r="V2138" s="22">
        <v>22.3799992</v>
      </c>
      <c r="W2138" s="22">
        <v>22.6800003</v>
      </c>
      <c r="X2138" s="22">
        <v>21.2853165</v>
      </c>
      <c r="Y2138" s="22">
        <v>817700</v>
      </c>
      <c r="Z2138" s="22">
        <v>1.0244909999999999E-2</v>
      </c>
    </row>
    <row r="2139" spans="19:26" ht="16" x14ac:dyDescent="0.2">
      <c r="S2139" s="23">
        <v>45238</v>
      </c>
      <c r="T2139" s="22">
        <v>22.479999500000002</v>
      </c>
      <c r="U2139" s="22">
        <v>22.4899998</v>
      </c>
      <c r="V2139" s="22">
        <v>22.040000899999999</v>
      </c>
      <c r="W2139" s="22">
        <v>22.090000199999999</v>
      </c>
      <c r="X2139" s="22">
        <v>20.731599800000001</v>
      </c>
      <c r="Y2139" s="22">
        <v>600000</v>
      </c>
      <c r="Z2139" s="22">
        <v>-2.6013999999999999E-2</v>
      </c>
    </row>
    <row r="2140" spans="19:26" ht="16" x14ac:dyDescent="0.2">
      <c r="S2140" s="23">
        <v>45239</v>
      </c>
      <c r="T2140" s="22">
        <v>22.030000699999999</v>
      </c>
      <c r="U2140" s="22">
        <v>22.139999400000001</v>
      </c>
      <c r="V2140" s="22">
        <v>21.610000599999999</v>
      </c>
      <c r="W2140" s="22">
        <v>21.670000099999999</v>
      </c>
      <c r="X2140" s="22">
        <v>20.337427099999999</v>
      </c>
      <c r="Y2140" s="22">
        <v>649500</v>
      </c>
      <c r="Z2140" s="22">
        <v>-1.9013100000000002E-2</v>
      </c>
    </row>
    <row r="2141" spans="19:26" ht="16" x14ac:dyDescent="0.2">
      <c r="S2141" s="23">
        <v>45240</v>
      </c>
      <c r="T2141" s="22">
        <v>21.729999500000002</v>
      </c>
      <c r="U2141" s="22">
        <v>21.729999500000002</v>
      </c>
      <c r="V2141" s="22">
        <v>21.270000499999998</v>
      </c>
      <c r="W2141" s="22">
        <v>21.469999300000001</v>
      </c>
      <c r="X2141" s="22">
        <v>20.149723099999999</v>
      </c>
      <c r="Y2141" s="22">
        <v>645500</v>
      </c>
      <c r="Z2141" s="22">
        <v>-9.2294999999999999E-3</v>
      </c>
    </row>
    <row r="2142" spans="19:26" ht="16" x14ac:dyDescent="0.2">
      <c r="S2142" s="23">
        <v>45243</v>
      </c>
      <c r="T2142" s="22">
        <v>21.4300003</v>
      </c>
      <c r="U2142" s="22">
        <v>21.6299992</v>
      </c>
      <c r="V2142" s="22">
        <v>21.25</v>
      </c>
      <c r="W2142" s="22">
        <v>21.350000399999999</v>
      </c>
      <c r="X2142" s="22">
        <v>20.0371056</v>
      </c>
      <c r="Y2142" s="22">
        <v>632400</v>
      </c>
      <c r="Z2142" s="22">
        <v>-5.5890000000000002E-3</v>
      </c>
    </row>
    <row r="2143" spans="19:26" ht="16" x14ac:dyDescent="0.2">
      <c r="S2143" s="23">
        <v>45244</v>
      </c>
      <c r="T2143" s="22">
        <v>22.1200008</v>
      </c>
      <c r="U2143" s="22">
        <v>23.209999100000001</v>
      </c>
      <c r="V2143" s="22">
        <v>22.1200008</v>
      </c>
      <c r="W2143" s="22">
        <v>23.0699997</v>
      </c>
      <c r="X2143" s="22">
        <v>21.651334800000001</v>
      </c>
      <c r="Y2143" s="22">
        <v>794800</v>
      </c>
      <c r="Z2143" s="22">
        <v>8.0561999999999995E-2</v>
      </c>
    </row>
    <row r="2144" spans="19:26" ht="16" x14ac:dyDescent="0.2">
      <c r="S2144" s="23">
        <v>45245</v>
      </c>
      <c r="T2144" s="22">
        <v>23.0699997</v>
      </c>
      <c r="U2144" s="22">
        <v>23.5</v>
      </c>
      <c r="V2144" s="22">
        <v>22.8700008</v>
      </c>
      <c r="W2144" s="22">
        <v>22.920000099999999</v>
      </c>
      <c r="X2144" s="22">
        <v>21.510560999999999</v>
      </c>
      <c r="Y2144" s="22">
        <v>762600</v>
      </c>
      <c r="Z2144" s="22">
        <v>-6.5018999999999997E-3</v>
      </c>
    </row>
    <row r="2145" spans="19:26" ht="16" x14ac:dyDescent="0.2">
      <c r="S2145" s="23">
        <v>45246</v>
      </c>
      <c r="T2145" s="22">
        <v>22.959999100000001</v>
      </c>
      <c r="U2145" s="22">
        <v>23.209999100000001</v>
      </c>
      <c r="V2145" s="22">
        <v>22.399999600000001</v>
      </c>
      <c r="W2145" s="22">
        <v>22.6299992</v>
      </c>
      <c r="X2145" s="22">
        <v>21.2383919</v>
      </c>
      <c r="Y2145" s="22">
        <v>767500</v>
      </c>
      <c r="Z2145" s="22">
        <v>-1.2652800000000001E-2</v>
      </c>
    </row>
    <row r="2146" spans="19:26" ht="16" x14ac:dyDescent="0.2">
      <c r="S2146" s="23">
        <v>45247</v>
      </c>
      <c r="T2146" s="22">
        <v>22.770000499999998</v>
      </c>
      <c r="U2146" s="22">
        <v>22.770000499999998</v>
      </c>
      <c r="V2146" s="22">
        <v>22.25</v>
      </c>
      <c r="W2146" s="22">
        <v>22.670000099999999</v>
      </c>
      <c r="X2146" s="22">
        <v>21.275932300000001</v>
      </c>
      <c r="Y2146" s="22">
        <v>720200</v>
      </c>
      <c r="Z2146" s="22">
        <v>1.76757E-3</v>
      </c>
    </row>
    <row r="2147" spans="19:26" ht="16" x14ac:dyDescent="0.2">
      <c r="S2147" s="23">
        <v>45250</v>
      </c>
      <c r="T2147" s="22">
        <v>22.579999900000001</v>
      </c>
      <c r="U2147" s="22">
        <v>22.770000499999998</v>
      </c>
      <c r="V2147" s="22">
        <v>22.340000199999999</v>
      </c>
      <c r="W2147" s="22">
        <v>22.6900005</v>
      </c>
      <c r="X2147" s="22">
        <v>21.294700599999999</v>
      </c>
      <c r="Y2147" s="22">
        <v>686000</v>
      </c>
      <c r="Z2147" s="22">
        <v>8.8214000000000001E-4</v>
      </c>
    </row>
    <row r="2148" spans="19:26" ht="16" x14ac:dyDescent="0.2">
      <c r="S2148" s="23">
        <v>45251</v>
      </c>
      <c r="T2148" s="22">
        <v>22.600000399999999</v>
      </c>
      <c r="U2148" s="22">
        <v>22.790000899999999</v>
      </c>
      <c r="V2148" s="22">
        <v>22.280000699999999</v>
      </c>
      <c r="W2148" s="22">
        <v>22.719999300000001</v>
      </c>
      <c r="X2148" s="22">
        <v>21.322855000000001</v>
      </c>
      <c r="Y2148" s="22">
        <v>604100</v>
      </c>
      <c r="Z2148" s="22">
        <v>1.3221299999999999E-3</v>
      </c>
    </row>
    <row r="2149" spans="19:26" ht="16" x14ac:dyDescent="0.2">
      <c r="S2149" s="23">
        <v>45252</v>
      </c>
      <c r="T2149" s="22">
        <v>22.979999500000002</v>
      </c>
      <c r="U2149" s="22">
        <v>23.0599995</v>
      </c>
      <c r="V2149" s="22">
        <v>22.639999400000001</v>
      </c>
      <c r="W2149" s="22">
        <v>23</v>
      </c>
      <c r="X2149" s="22">
        <v>21.585641899999999</v>
      </c>
      <c r="Y2149" s="22">
        <v>631600</v>
      </c>
      <c r="Z2149" s="22">
        <v>1.232419E-2</v>
      </c>
    </row>
    <row r="2150" spans="19:26" ht="16" x14ac:dyDescent="0.2">
      <c r="S2150" s="23">
        <v>45254</v>
      </c>
      <c r="T2150" s="22">
        <v>23</v>
      </c>
      <c r="U2150" s="22">
        <v>23.090000199999999</v>
      </c>
      <c r="V2150" s="22">
        <v>22.6900005</v>
      </c>
      <c r="W2150" s="22">
        <v>22.729999500000002</v>
      </c>
      <c r="X2150" s="22">
        <v>21.3322392</v>
      </c>
      <c r="Y2150" s="22">
        <v>279100</v>
      </c>
      <c r="Z2150" s="22">
        <v>-1.1739400000000001E-2</v>
      </c>
    </row>
    <row r="2151" spans="19:26" ht="16" x14ac:dyDescent="0.2">
      <c r="S2151" s="23">
        <v>45257</v>
      </c>
      <c r="T2151" s="22">
        <v>22.709999100000001</v>
      </c>
      <c r="U2151" s="22">
        <v>22.9899998</v>
      </c>
      <c r="V2151" s="22">
        <v>22.6900005</v>
      </c>
      <c r="W2151" s="22">
        <v>22.8700008</v>
      </c>
      <c r="X2151" s="22">
        <v>21.463634500000001</v>
      </c>
      <c r="Y2151" s="22">
        <v>892000</v>
      </c>
      <c r="Z2151" s="22">
        <v>6.1594700000000002E-3</v>
      </c>
    </row>
    <row r="2152" spans="19:26" ht="16" x14ac:dyDescent="0.2">
      <c r="S2152" s="23">
        <v>45258</v>
      </c>
      <c r="T2152" s="22">
        <v>24.6800003</v>
      </c>
      <c r="U2152" s="22">
        <v>25.7600002</v>
      </c>
      <c r="V2152" s="22">
        <v>24.450000800000002</v>
      </c>
      <c r="W2152" s="22">
        <v>25.219999300000001</v>
      </c>
      <c r="X2152" s="22">
        <v>23.669120800000002</v>
      </c>
      <c r="Y2152" s="22">
        <v>6951100</v>
      </c>
      <c r="Z2152" s="22">
        <v>0.10275455999999999</v>
      </c>
    </row>
    <row r="2153" spans="19:26" ht="16" x14ac:dyDescent="0.2">
      <c r="S2153" s="23">
        <v>45259</v>
      </c>
      <c r="T2153" s="22">
        <v>25.229999500000002</v>
      </c>
      <c r="U2153" s="22">
        <v>25.590000199999999</v>
      </c>
      <c r="V2153" s="22">
        <v>24.969999300000001</v>
      </c>
      <c r="W2153" s="22">
        <v>25.25</v>
      </c>
      <c r="X2153" s="22">
        <v>23.697277100000001</v>
      </c>
      <c r="Y2153" s="22">
        <v>19954500</v>
      </c>
      <c r="Z2153" s="22">
        <v>1.18958E-3</v>
      </c>
    </row>
    <row r="2154" spans="19:26" ht="16" x14ac:dyDescent="0.2">
      <c r="S2154" s="23">
        <v>45260</v>
      </c>
      <c r="T2154" s="22">
        <v>24.770000499999998</v>
      </c>
      <c r="U2154" s="22">
        <v>25.159999800000001</v>
      </c>
      <c r="V2154" s="22">
        <v>24.649999600000001</v>
      </c>
      <c r="W2154" s="22">
        <v>24.969999300000001</v>
      </c>
      <c r="X2154" s="22">
        <v>23.807878500000001</v>
      </c>
      <c r="Y2154" s="22">
        <v>2161900</v>
      </c>
      <c r="Z2154" s="22">
        <v>4.6672600000000003E-3</v>
      </c>
    </row>
    <row r="2155" spans="19:26" ht="16" x14ac:dyDescent="0.2">
      <c r="S2155" s="23">
        <v>45261</v>
      </c>
      <c r="T2155" s="22">
        <v>24.9400005</v>
      </c>
      <c r="U2155" s="22">
        <v>25.4300003</v>
      </c>
      <c r="V2155" s="22">
        <v>24.6200008</v>
      </c>
      <c r="W2155" s="22">
        <v>25.229999500000002</v>
      </c>
      <c r="X2155" s="22">
        <v>24.055778499999999</v>
      </c>
      <c r="Y2155" s="22">
        <v>1748300</v>
      </c>
      <c r="Z2155" s="22">
        <v>1.041252E-2</v>
      </c>
    </row>
    <row r="2156" spans="19:26" ht="16" x14ac:dyDescent="0.2">
      <c r="S2156" s="23">
        <v>45264</v>
      </c>
      <c r="T2156" s="22">
        <v>24.9300003</v>
      </c>
      <c r="U2156" s="22">
        <v>25.6800003</v>
      </c>
      <c r="V2156" s="22">
        <v>24.8099995</v>
      </c>
      <c r="W2156" s="22">
        <v>25.219999300000001</v>
      </c>
      <c r="X2156" s="22">
        <v>24.046241800000001</v>
      </c>
      <c r="Y2156" s="22">
        <v>1257300</v>
      </c>
      <c r="Z2156" s="22">
        <v>-3.9639999999999999E-4</v>
      </c>
    </row>
    <row r="2157" spans="19:26" ht="16" x14ac:dyDescent="0.2">
      <c r="S2157" s="23">
        <v>45265</v>
      </c>
      <c r="T2157" s="22">
        <v>25.25</v>
      </c>
      <c r="U2157" s="22">
        <v>25.5</v>
      </c>
      <c r="V2157" s="22">
        <v>25.0599995</v>
      </c>
      <c r="W2157" s="22">
        <v>25.090000199999999</v>
      </c>
      <c r="X2157" s="22">
        <v>23.922296500000002</v>
      </c>
      <c r="Y2157" s="22">
        <v>843400</v>
      </c>
      <c r="Z2157" s="22">
        <v>-5.1545000000000002E-3</v>
      </c>
    </row>
    <row r="2158" spans="19:26" ht="16" x14ac:dyDescent="0.2">
      <c r="S2158" s="23">
        <v>45266</v>
      </c>
      <c r="T2158" s="22">
        <v>25.2600002</v>
      </c>
      <c r="U2158" s="22">
        <v>25.459999100000001</v>
      </c>
      <c r="V2158" s="22">
        <v>24.790000899999999</v>
      </c>
      <c r="W2158" s="22">
        <v>25</v>
      </c>
      <c r="X2158" s="22">
        <v>23.836483000000001</v>
      </c>
      <c r="Y2158" s="22">
        <v>1062500</v>
      </c>
      <c r="Z2158" s="22">
        <v>-3.5872E-3</v>
      </c>
    </row>
    <row r="2159" spans="19:26" ht="16" x14ac:dyDescent="0.2">
      <c r="S2159" s="23">
        <v>45267</v>
      </c>
      <c r="T2159" s="22">
        <v>25.1200008</v>
      </c>
      <c r="U2159" s="22">
        <v>25.360000599999999</v>
      </c>
      <c r="V2159" s="22">
        <v>24.889999400000001</v>
      </c>
      <c r="W2159" s="22">
        <v>24.959999100000001</v>
      </c>
      <c r="X2159" s="22">
        <v>23.7983437</v>
      </c>
      <c r="Y2159" s="22">
        <v>815100</v>
      </c>
      <c r="Z2159" s="22">
        <v>-1.6000000000000001E-3</v>
      </c>
    </row>
    <row r="2160" spans="19:26" ht="16" x14ac:dyDescent="0.2">
      <c r="S2160" s="23">
        <v>45268</v>
      </c>
      <c r="T2160" s="22">
        <v>24.8700008</v>
      </c>
      <c r="U2160" s="22">
        <v>25.079999900000001</v>
      </c>
      <c r="V2160" s="22">
        <v>24.670000099999999</v>
      </c>
      <c r="W2160" s="22">
        <v>24.8799992</v>
      </c>
      <c r="X2160" s="22">
        <v>23.722066900000002</v>
      </c>
      <c r="Y2160" s="22">
        <v>1059400</v>
      </c>
      <c r="Z2160" s="22">
        <v>-3.2050999999999998E-3</v>
      </c>
    </row>
    <row r="2161" spans="19:26" ht="16" x14ac:dyDescent="0.2">
      <c r="S2161" s="23">
        <v>45271</v>
      </c>
      <c r="T2161" s="22">
        <v>24.729999500000002</v>
      </c>
      <c r="U2161" s="22">
        <v>25.170000099999999</v>
      </c>
      <c r="V2161" s="22">
        <v>24.6200008</v>
      </c>
      <c r="W2161" s="22">
        <v>24.899999600000001</v>
      </c>
      <c r="X2161" s="22">
        <v>23.741136600000001</v>
      </c>
      <c r="Y2161" s="22">
        <v>685600</v>
      </c>
      <c r="Z2161" s="22">
        <v>8.0387999999999998E-4</v>
      </c>
    </row>
    <row r="2162" spans="19:26" ht="16" x14ac:dyDescent="0.2">
      <c r="S2162" s="23">
        <v>45272</v>
      </c>
      <c r="T2162" s="22">
        <v>24.790000899999999</v>
      </c>
      <c r="U2162" s="22">
        <v>24.790000899999999</v>
      </c>
      <c r="V2162" s="22">
        <v>24.280000699999999</v>
      </c>
      <c r="W2162" s="22">
        <v>24.5599995</v>
      </c>
      <c r="X2162" s="22">
        <v>23.416959800000001</v>
      </c>
      <c r="Y2162" s="22">
        <v>925000</v>
      </c>
      <c r="Z2162" s="22">
        <v>-1.3654599999999999E-2</v>
      </c>
    </row>
    <row r="2163" spans="19:26" ht="16" x14ac:dyDescent="0.2">
      <c r="S2163" s="23">
        <v>45273</v>
      </c>
      <c r="T2163" s="22">
        <v>24.600000399999999</v>
      </c>
      <c r="U2163" s="22">
        <v>26.290000899999999</v>
      </c>
      <c r="V2163" s="22">
        <v>24.399999600000001</v>
      </c>
      <c r="W2163" s="22">
        <v>26.100000399999999</v>
      </c>
      <c r="X2163" s="22">
        <v>24.885290099999999</v>
      </c>
      <c r="Y2163" s="22">
        <v>1418200</v>
      </c>
      <c r="Z2163" s="22">
        <v>6.2703720000000004E-2</v>
      </c>
    </row>
    <row r="2164" spans="19:26" ht="16" x14ac:dyDescent="0.2">
      <c r="S2164" s="23">
        <v>45274</v>
      </c>
      <c r="T2164" s="22">
        <v>26.729999500000002</v>
      </c>
      <c r="U2164" s="22">
        <v>27.3099995</v>
      </c>
      <c r="V2164" s="22">
        <v>26.3700008</v>
      </c>
      <c r="W2164" s="22">
        <v>26.659999800000001</v>
      </c>
      <c r="X2164" s="22">
        <v>25.419225699999998</v>
      </c>
      <c r="Y2164" s="22">
        <v>1599900</v>
      </c>
      <c r="Z2164" s="22">
        <v>2.1455869999999998E-2</v>
      </c>
    </row>
    <row r="2165" spans="19:26" ht="16" x14ac:dyDescent="0.2">
      <c r="S2165" s="23">
        <v>45275</v>
      </c>
      <c r="T2165" s="22">
        <v>26.8199997</v>
      </c>
      <c r="U2165" s="22">
        <v>26.850000399999999</v>
      </c>
      <c r="V2165" s="22">
        <v>26.2399998</v>
      </c>
      <c r="W2165" s="22">
        <v>26.6299992</v>
      </c>
      <c r="X2165" s="22">
        <v>25.390621199999998</v>
      </c>
      <c r="Y2165" s="22">
        <v>2904200</v>
      </c>
      <c r="Z2165" s="22">
        <v>-1.1253000000000001E-3</v>
      </c>
    </row>
    <row r="2166" spans="19:26" ht="16" x14ac:dyDescent="0.2">
      <c r="S2166" s="23">
        <v>45278</v>
      </c>
      <c r="T2166" s="22">
        <v>26.6800003</v>
      </c>
      <c r="U2166" s="22">
        <v>26.6800003</v>
      </c>
      <c r="V2166" s="22">
        <v>25.9899998</v>
      </c>
      <c r="W2166" s="22">
        <v>26.079999900000001</v>
      </c>
      <c r="X2166" s="22">
        <v>24.8662186</v>
      </c>
      <c r="Y2166" s="22">
        <v>814800</v>
      </c>
      <c r="Z2166" s="22">
        <v>-2.0653399999999999E-2</v>
      </c>
    </row>
    <row r="2167" spans="19:26" ht="16" x14ac:dyDescent="0.2">
      <c r="S2167" s="23">
        <v>45279</v>
      </c>
      <c r="T2167" s="22">
        <v>26.299999199999998</v>
      </c>
      <c r="U2167" s="22">
        <v>26.9300003</v>
      </c>
      <c r="V2167" s="22">
        <v>26.040000899999999</v>
      </c>
      <c r="W2167" s="22">
        <v>26.8799992</v>
      </c>
      <c r="X2167" s="22">
        <v>25.628986399999999</v>
      </c>
      <c r="Y2167" s="22">
        <v>1142400</v>
      </c>
      <c r="Z2167" s="22">
        <v>3.0674860000000002E-2</v>
      </c>
    </row>
    <row r="2168" spans="19:26" ht="16" x14ac:dyDescent="0.2">
      <c r="S2168" s="23">
        <v>45280</v>
      </c>
      <c r="T2168" s="22">
        <v>26.889999400000001</v>
      </c>
      <c r="U2168" s="22">
        <v>27.1900005</v>
      </c>
      <c r="V2168" s="22">
        <v>26.450000800000002</v>
      </c>
      <c r="W2168" s="22">
        <v>26.5</v>
      </c>
      <c r="X2168" s="22">
        <v>25.266672100000001</v>
      </c>
      <c r="Y2168" s="22">
        <v>905600</v>
      </c>
      <c r="Z2168" s="22">
        <v>-1.4136900000000001E-2</v>
      </c>
    </row>
    <row r="2169" spans="19:26" ht="16" x14ac:dyDescent="0.2">
      <c r="S2169" s="23">
        <v>45281</v>
      </c>
      <c r="T2169" s="22">
        <v>26.780000699999999</v>
      </c>
      <c r="U2169" s="22">
        <v>27.219999300000001</v>
      </c>
      <c r="V2169" s="22">
        <v>26.709999100000001</v>
      </c>
      <c r="W2169" s="22">
        <v>27.159999800000001</v>
      </c>
      <c r="X2169" s="22">
        <v>25.895954100000001</v>
      </c>
      <c r="Y2169" s="22">
        <v>628900</v>
      </c>
      <c r="Z2169" s="22">
        <v>2.4905610000000002E-2</v>
      </c>
    </row>
    <row r="2170" spans="19:26" ht="16" x14ac:dyDescent="0.2">
      <c r="S2170" s="23">
        <v>45282</v>
      </c>
      <c r="T2170" s="22">
        <v>27.299999199999998</v>
      </c>
      <c r="U2170" s="22">
        <v>27.639999400000001</v>
      </c>
      <c r="V2170" s="22">
        <v>27.2600002</v>
      </c>
      <c r="W2170" s="22">
        <v>27.3700008</v>
      </c>
      <c r="X2170" s="22">
        <v>26.096183799999999</v>
      </c>
      <c r="Y2170" s="22">
        <v>428300</v>
      </c>
      <c r="Z2170" s="22">
        <v>7.7320799999999997E-3</v>
      </c>
    </row>
    <row r="2171" spans="19:26" ht="16" x14ac:dyDescent="0.2">
      <c r="S2171" s="23">
        <v>45286</v>
      </c>
      <c r="T2171" s="22">
        <v>27.420000099999999</v>
      </c>
      <c r="U2171" s="22">
        <v>27.770000499999998</v>
      </c>
      <c r="V2171" s="22">
        <v>27.350000399999999</v>
      </c>
      <c r="W2171" s="22">
        <v>27.700000800000002</v>
      </c>
      <c r="X2171" s="22">
        <v>26.410823799999999</v>
      </c>
      <c r="Y2171" s="22">
        <v>376700</v>
      </c>
      <c r="Z2171" s="22">
        <v>1.205694E-2</v>
      </c>
    </row>
    <row r="2172" spans="19:26" ht="16" x14ac:dyDescent="0.2">
      <c r="S2172" s="23">
        <v>45287</v>
      </c>
      <c r="T2172" s="22">
        <v>27.729999500000002</v>
      </c>
      <c r="U2172" s="22">
        <v>27.8199997</v>
      </c>
      <c r="V2172" s="22">
        <v>27.479999500000002</v>
      </c>
      <c r="W2172" s="22">
        <v>27.639999400000001</v>
      </c>
      <c r="X2172" s="22">
        <v>26.353614799999999</v>
      </c>
      <c r="Y2172" s="22">
        <v>377200</v>
      </c>
      <c r="Z2172" s="22">
        <v>-2.1660999999999998E-3</v>
      </c>
    </row>
    <row r="2173" spans="19:26" ht="16" x14ac:dyDescent="0.2">
      <c r="S2173" s="23">
        <v>45288</v>
      </c>
      <c r="T2173" s="22">
        <v>27.4300003</v>
      </c>
      <c r="U2173" s="22">
        <v>27.8199997</v>
      </c>
      <c r="V2173" s="22">
        <v>27.4300003</v>
      </c>
      <c r="W2173" s="22">
        <v>27.709999100000001</v>
      </c>
      <c r="X2173" s="22">
        <v>26.420358700000001</v>
      </c>
      <c r="Y2173" s="22">
        <v>465300</v>
      </c>
      <c r="Z2173" s="22">
        <v>2.5326300000000001E-3</v>
      </c>
    </row>
    <row r="2174" spans="19:26" ht="16" x14ac:dyDescent="0.2">
      <c r="S2174" s="23">
        <v>45289</v>
      </c>
      <c r="T2174" s="22">
        <v>27.469999300000001</v>
      </c>
      <c r="U2174" s="22">
        <v>27.600000399999999</v>
      </c>
      <c r="V2174" s="22">
        <v>27.329999900000001</v>
      </c>
      <c r="W2174" s="22">
        <v>27.4300003</v>
      </c>
      <c r="X2174" s="22">
        <v>26.153389000000001</v>
      </c>
      <c r="Y2174" s="22">
        <v>655000</v>
      </c>
      <c r="Z2174" s="22">
        <v>-1.0104699999999999E-2</v>
      </c>
    </row>
    <row r="2175" spans="19:26" ht="16" x14ac:dyDescent="0.2">
      <c r="S2175" s="23">
        <v>45293</v>
      </c>
      <c r="T2175" s="22">
        <v>27.350000399999999</v>
      </c>
      <c r="U2175" s="22">
        <v>27.6800003</v>
      </c>
      <c r="V2175" s="22">
        <v>27.100000399999999</v>
      </c>
      <c r="W2175" s="22">
        <v>27.1900005</v>
      </c>
      <c r="X2175" s="22">
        <v>25.924560499999998</v>
      </c>
      <c r="Y2175" s="22">
        <v>1240300</v>
      </c>
      <c r="Z2175" s="22">
        <v>-8.7495000000000003E-3</v>
      </c>
    </row>
    <row r="2176" spans="19:26" ht="16" x14ac:dyDescent="0.2">
      <c r="S2176" s="23">
        <v>45294</v>
      </c>
      <c r="T2176" s="22">
        <v>27</v>
      </c>
      <c r="U2176" s="22">
        <v>27</v>
      </c>
      <c r="V2176" s="22">
        <v>26.520000499999998</v>
      </c>
      <c r="W2176" s="22">
        <v>26.840000199999999</v>
      </c>
      <c r="X2176" s="22">
        <v>25.590848900000001</v>
      </c>
      <c r="Y2176" s="22">
        <v>829800</v>
      </c>
      <c r="Z2176" s="22">
        <v>-1.2872400000000001E-2</v>
      </c>
    </row>
    <row r="2177" spans="19:26" ht="16" x14ac:dyDescent="0.2">
      <c r="S2177" s="23">
        <v>45295</v>
      </c>
      <c r="T2177" s="22">
        <v>26.770000499999998</v>
      </c>
      <c r="U2177" s="22">
        <v>27.049999199999998</v>
      </c>
      <c r="V2177" s="22">
        <v>26.649999600000001</v>
      </c>
      <c r="W2177" s="22">
        <v>26.829999900000001</v>
      </c>
      <c r="X2177" s="22">
        <v>25.581312199999999</v>
      </c>
      <c r="Y2177" s="22">
        <v>1014700</v>
      </c>
      <c r="Z2177" s="22">
        <v>-3.7270000000000001E-4</v>
      </c>
    </row>
    <row r="2178" spans="19:26" ht="16" x14ac:dyDescent="0.2">
      <c r="S2178" s="23">
        <v>45296</v>
      </c>
      <c r="T2178" s="22">
        <v>26.649999600000001</v>
      </c>
      <c r="U2178" s="22">
        <v>27.420000099999999</v>
      </c>
      <c r="V2178" s="22">
        <v>26.530000699999999</v>
      </c>
      <c r="W2178" s="22">
        <v>26.850000399999999</v>
      </c>
      <c r="X2178" s="22">
        <v>25.600383799999999</v>
      </c>
      <c r="Y2178" s="22">
        <v>1217000</v>
      </c>
      <c r="Z2178" s="22">
        <v>7.4553E-4</v>
      </c>
    </row>
    <row r="2179" spans="19:26" ht="16" x14ac:dyDescent="0.2">
      <c r="S2179" s="23">
        <v>45299</v>
      </c>
      <c r="T2179" s="22">
        <v>26.840000199999999</v>
      </c>
      <c r="U2179" s="22">
        <v>27.600000399999999</v>
      </c>
      <c r="V2179" s="22">
        <v>26.7600002</v>
      </c>
      <c r="W2179" s="22">
        <v>27.25</v>
      </c>
      <c r="X2179" s="22">
        <v>25.9817657</v>
      </c>
      <c r="Y2179" s="22">
        <v>1147000</v>
      </c>
      <c r="Z2179" s="22">
        <v>1.4897509999999999E-2</v>
      </c>
    </row>
    <row r="2180" spans="19:26" ht="16" x14ac:dyDescent="0.2">
      <c r="S2180" s="23">
        <v>45300</v>
      </c>
      <c r="T2180" s="22">
        <v>26.959999100000001</v>
      </c>
      <c r="U2180" s="22">
        <v>27.139999400000001</v>
      </c>
      <c r="V2180" s="22">
        <v>26.7600002</v>
      </c>
      <c r="W2180" s="22">
        <v>27</v>
      </c>
      <c r="X2180" s="22">
        <v>25.743400600000001</v>
      </c>
      <c r="Y2180" s="22">
        <v>558100</v>
      </c>
      <c r="Z2180" s="22">
        <v>-9.1742999999999998E-3</v>
      </c>
    </row>
    <row r="2181" spans="19:26" ht="16" x14ac:dyDescent="0.2">
      <c r="S2181" s="23">
        <v>45301</v>
      </c>
      <c r="T2181" s="22">
        <v>26.9400005</v>
      </c>
      <c r="U2181" s="22">
        <v>26.950000800000002</v>
      </c>
      <c r="V2181" s="22">
        <v>26.600000399999999</v>
      </c>
      <c r="W2181" s="22">
        <v>26.6900005</v>
      </c>
      <c r="X2181" s="22">
        <v>25.447830199999999</v>
      </c>
      <c r="Y2181" s="22">
        <v>474000</v>
      </c>
      <c r="Z2181" s="22">
        <v>-1.1481399999999999E-2</v>
      </c>
    </row>
    <row r="2182" spans="19:26" ht="16" x14ac:dyDescent="0.2">
      <c r="S2182" s="23">
        <v>45302</v>
      </c>
      <c r="T2182" s="22">
        <v>26.5100002</v>
      </c>
      <c r="U2182" s="22">
        <v>26.530000699999999</v>
      </c>
      <c r="V2182" s="22">
        <v>25.600000399999999</v>
      </c>
      <c r="W2182" s="22">
        <v>26.0100002</v>
      </c>
      <c r="X2182" s="22">
        <v>24.799478499999999</v>
      </c>
      <c r="Y2182" s="22">
        <v>1532100</v>
      </c>
      <c r="Z2182" s="22">
        <v>-2.5477699999999999E-2</v>
      </c>
    </row>
    <row r="2183" spans="19:26" ht="16" x14ac:dyDescent="0.2">
      <c r="S2183" s="23">
        <v>45303</v>
      </c>
      <c r="T2183" s="22">
        <v>26.299999199999998</v>
      </c>
      <c r="U2183" s="22">
        <v>26.4300003</v>
      </c>
      <c r="V2183" s="22">
        <v>25.75</v>
      </c>
      <c r="W2183" s="22">
        <v>25.840000199999999</v>
      </c>
      <c r="X2183" s="22">
        <v>24.6373882</v>
      </c>
      <c r="Y2183" s="22">
        <v>815900</v>
      </c>
      <c r="Z2183" s="22">
        <v>-6.5360000000000001E-3</v>
      </c>
    </row>
    <row r="2184" spans="19:26" ht="16" x14ac:dyDescent="0.2">
      <c r="S2184" s="23">
        <v>45307</v>
      </c>
      <c r="T2184" s="22">
        <v>25.6800003</v>
      </c>
      <c r="U2184" s="22">
        <v>25.8099995</v>
      </c>
      <c r="V2184" s="22">
        <v>25.290000899999999</v>
      </c>
      <c r="W2184" s="22">
        <v>25.3700008</v>
      </c>
      <c r="X2184" s="22">
        <v>24.189264300000001</v>
      </c>
      <c r="Y2184" s="22">
        <v>807800</v>
      </c>
      <c r="Z2184" s="22">
        <v>-1.8188800000000001E-2</v>
      </c>
    </row>
    <row r="2185" spans="19:26" ht="16" x14ac:dyDescent="0.2">
      <c r="S2185" s="23">
        <v>45308</v>
      </c>
      <c r="T2185" s="22">
        <v>25</v>
      </c>
      <c r="U2185" s="22">
        <v>25.1200008</v>
      </c>
      <c r="V2185" s="22">
        <v>24.520000499999998</v>
      </c>
      <c r="W2185" s="22">
        <v>24.700000800000002</v>
      </c>
      <c r="X2185" s="22">
        <v>23.550447500000001</v>
      </c>
      <c r="Y2185" s="22">
        <v>820200</v>
      </c>
      <c r="Z2185" s="22">
        <v>-2.6409100000000001E-2</v>
      </c>
    </row>
    <row r="2186" spans="19:26" ht="16" x14ac:dyDescent="0.2">
      <c r="S2186" s="23">
        <v>45309</v>
      </c>
      <c r="T2186" s="22">
        <v>24.7600002</v>
      </c>
      <c r="U2186" s="22">
        <v>24.799999199999998</v>
      </c>
      <c r="V2186" s="22">
        <v>24.4899998</v>
      </c>
      <c r="W2186" s="22">
        <v>24.610000599999999</v>
      </c>
      <c r="X2186" s="22">
        <v>23.464633899999999</v>
      </c>
      <c r="Y2186" s="22">
        <v>849500</v>
      </c>
      <c r="Z2186" s="22">
        <v>-3.6438E-3</v>
      </c>
    </row>
    <row r="2187" spans="19:26" ht="16" x14ac:dyDescent="0.2">
      <c r="S2187" s="23">
        <v>45310</v>
      </c>
      <c r="T2187" s="22">
        <v>24.709999100000001</v>
      </c>
      <c r="U2187" s="22">
        <v>24.709999100000001</v>
      </c>
      <c r="V2187" s="22">
        <v>24.219999300000001</v>
      </c>
      <c r="W2187" s="22">
        <v>24.610000599999999</v>
      </c>
      <c r="X2187" s="22">
        <v>23.464633899999999</v>
      </c>
      <c r="Y2187" s="22">
        <v>1030400</v>
      </c>
      <c r="Z2187" s="22">
        <v>0</v>
      </c>
    </row>
    <row r="2188" spans="19:26" ht="16" x14ac:dyDescent="0.2">
      <c r="S2188" s="23">
        <v>45313</v>
      </c>
      <c r="T2188" s="22">
        <v>24.719999300000001</v>
      </c>
      <c r="U2188" s="22">
        <v>25.6299992</v>
      </c>
      <c r="V2188" s="22">
        <v>24.709999100000001</v>
      </c>
      <c r="W2188" s="22">
        <v>24.979999500000002</v>
      </c>
      <c r="X2188" s="22">
        <v>23.817413299999998</v>
      </c>
      <c r="Y2188" s="22">
        <v>1202600</v>
      </c>
      <c r="Z2188" s="22">
        <v>1.5034509999999999E-2</v>
      </c>
    </row>
    <row r="2189" spans="19:26" ht="16" x14ac:dyDescent="0.2">
      <c r="S2189" s="23">
        <v>45314</v>
      </c>
      <c r="T2189" s="22">
        <v>25.290000899999999</v>
      </c>
      <c r="U2189" s="22">
        <v>25.5</v>
      </c>
      <c r="V2189" s="22">
        <v>24.479999500000002</v>
      </c>
      <c r="W2189" s="22">
        <v>24.6200008</v>
      </c>
      <c r="X2189" s="22">
        <v>23.474168800000001</v>
      </c>
      <c r="Y2189" s="22">
        <v>1187900</v>
      </c>
      <c r="Z2189" s="22">
        <v>-1.4411500000000001E-2</v>
      </c>
    </row>
    <row r="2190" spans="19:26" ht="16" x14ac:dyDescent="0.2">
      <c r="S2190" s="23">
        <v>45315</v>
      </c>
      <c r="T2190" s="22">
        <v>24.9300003</v>
      </c>
      <c r="U2190" s="22">
        <v>24.959999100000001</v>
      </c>
      <c r="V2190" s="22">
        <v>24.079999900000001</v>
      </c>
      <c r="W2190" s="22">
        <v>24.209999100000001</v>
      </c>
      <c r="X2190" s="22">
        <v>23.083248099999999</v>
      </c>
      <c r="Y2190" s="22">
        <v>769200</v>
      </c>
      <c r="Z2190" s="22">
        <v>-1.66532E-2</v>
      </c>
    </row>
    <row r="2191" spans="19:26" ht="16" x14ac:dyDescent="0.2">
      <c r="S2191" s="23">
        <v>45316</v>
      </c>
      <c r="T2191" s="22">
        <v>24.5699997</v>
      </c>
      <c r="U2191" s="22">
        <v>25.1200008</v>
      </c>
      <c r="V2191" s="22">
        <v>24.5699997</v>
      </c>
      <c r="W2191" s="22">
        <v>24.959999100000001</v>
      </c>
      <c r="X2191" s="22">
        <v>23.7983437</v>
      </c>
      <c r="Y2191" s="22">
        <v>1004700</v>
      </c>
      <c r="Z2191" s="22">
        <v>3.097898E-2</v>
      </c>
    </row>
    <row r="2192" spans="19:26" ht="16" x14ac:dyDescent="0.2">
      <c r="S2192" s="23">
        <v>45317</v>
      </c>
      <c r="T2192" s="22">
        <v>25.079999900000001</v>
      </c>
      <c r="U2192" s="22">
        <v>25.170000099999999</v>
      </c>
      <c r="V2192" s="22">
        <v>24.5599995</v>
      </c>
      <c r="W2192" s="22">
        <v>24.6299992</v>
      </c>
      <c r="X2192" s="22">
        <v>23.483701700000001</v>
      </c>
      <c r="Y2192" s="22">
        <v>774000</v>
      </c>
      <c r="Z2192" s="22">
        <v>-1.3221200000000001E-2</v>
      </c>
    </row>
    <row r="2193" spans="19:26" ht="16" x14ac:dyDescent="0.2">
      <c r="S2193" s="23">
        <v>45320</v>
      </c>
      <c r="T2193" s="22">
        <v>24.6299992</v>
      </c>
      <c r="U2193" s="22">
        <v>24.9899998</v>
      </c>
      <c r="V2193" s="22">
        <v>24.469999300000001</v>
      </c>
      <c r="W2193" s="22">
        <v>24.9300003</v>
      </c>
      <c r="X2193" s="22">
        <v>23.769741100000001</v>
      </c>
      <c r="Y2193" s="22">
        <v>611900</v>
      </c>
      <c r="Z2193" s="22">
        <v>1.218033E-2</v>
      </c>
    </row>
    <row r="2194" spans="19:26" ht="16" x14ac:dyDescent="0.2">
      <c r="S2194" s="23">
        <v>45321</v>
      </c>
      <c r="T2194" s="22">
        <v>24.8199997</v>
      </c>
      <c r="U2194" s="22">
        <v>24.850000399999999</v>
      </c>
      <c r="V2194" s="22">
        <v>24.450000800000002</v>
      </c>
      <c r="W2194" s="22">
        <v>24.6200008</v>
      </c>
      <c r="X2194" s="22">
        <v>23.474168800000001</v>
      </c>
      <c r="Y2194" s="22">
        <v>929700</v>
      </c>
      <c r="Z2194" s="22">
        <v>-1.2434799999999999E-2</v>
      </c>
    </row>
    <row r="2195" spans="19:26" ht="16" x14ac:dyDescent="0.2">
      <c r="S2195" s="23">
        <v>45322</v>
      </c>
      <c r="T2195" s="22">
        <v>24.709999100000001</v>
      </c>
      <c r="U2195" s="22">
        <v>24.899999600000001</v>
      </c>
      <c r="V2195" s="22">
        <v>24.209999100000001</v>
      </c>
      <c r="W2195" s="22">
        <v>24.2399998</v>
      </c>
      <c r="X2195" s="22">
        <v>23.111852599999999</v>
      </c>
      <c r="Y2195" s="22">
        <v>1018300</v>
      </c>
      <c r="Z2195" s="22">
        <v>-1.5434700000000001E-2</v>
      </c>
    </row>
    <row r="2196" spans="19:26" ht="16" x14ac:dyDescent="0.2">
      <c r="S2196" s="23">
        <v>45323</v>
      </c>
      <c r="T2196" s="22">
        <v>24.469999300000001</v>
      </c>
      <c r="U2196" s="22">
        <v>24.829999900000001</v>
      </c>
      <c r="V2196" s="22">
        <v>24.209999100000001</v>
      </c>
      <c r="W2196" s="22">
        <v>24.8099995</v>
      </c>
      <c r="X2196" s="22">
        <v>23.6553249</v>
      </c>
      <c r="Y2196" s="22">
        <v>825600</v>
      </c>
      <c r="Z2196" s="22">
        <v>2.351487E-2</v>
      </c>
    </row>
    <row r="2197" spans="19:26" ht="16" x14ac:dyDescent="0.2">
      <c r="S2197" s="23">
        <v>45324</v>
      </c>
      <c r="T2197" s="22">
        <v>24.290000899999999</v>
      </c>
      <c r="U2197" s="22">
        <v>24.299999199999998</v>
      </c>
      <c r="V2197" s="22">
        <v>23.8099995</v>
      </c>
      <c r="W2197" s="22">
        <v>23.979999500000002</v>
      </c>
      <c r="X2197" s="22">
        <v>22.863954499999998</v>
      </c>
      <c r="Y2197" s="22">
        <v>791300</v>
      </c>
      <c r="Z2197" s="22">
        <v>-3.3454200000000003E-2</v>
      </c>
    </row>
    <row r="2198" spans="19:26" ht="16" x14ac:dyDescent="0.2">
      <c r="S2198" s="23">
        <v>45327</v>
      </c>
      <c r="T2198" s="22">
        <v>23.610000599999999</v>
      </c>
      <c r="U2198" s="22">
        <v>23.6200008</v>
      </c>
      <c r="V2198" s="22">
        <v>23.040000899999999</v>
      </c>
      <c r="W2198" s="22">
        <v>23.149999600000001</v>
      </c>
      <c r="X2198" s="22">
        <v>22.072584200000001</v>
      </c>
      <c r="Y2198" s="22">
        <v>996000</v>
      </c>
      <c r="Z2198" s="22">
        <v>-3.46121E-2</v>
      </c>
    </row>
    <row r="2199" spans="19:26" ht="16" x14ac:dyDescent="0.2">
      <c r="S2199" s="23">
        <v>45328</v>
      </c>
      <c r="T2199" s="22">
        <v>23.0599995</v>
      </c>
      <c r="U2199" s="22">
        <v>23.520000499999998</v>
      </c>
      <c r="V2199" s="22">
        <v>22.969999300000001</v>
      </c>
      <c r="W2199" s="22">
        <v>23.479999500000002</v>
      </c>
      <c r="X2199" s="22">
        <v>22.387226099999999</v>
      </c>
      <c r="Y2199" s="22">
        <v>789100</v>
      </c>
      <c r="Z2199" s="22">
        <v>1.4254879999999999E-2</v>
      </c>
    </row>
    <row r="2200" spans="19:26" ht="16" x14ac:dyDescent="0.2">
      <c r="S2200" s="23">
        <v>45329</v>
      </c>
      <c r="T2200" s="22">
        <v>23.5</v>
      </c>
      <c r="U2200" s="22">
        <v>23.659999800000001</v>
      </c>
      <c r="V2200" s="22">
        <v>23.209999100000001</v>
      </c>
      <c r="W2200" s="22">
        <v>23.4300003</v>
      </c>
      <c r="X2200" s="22">
        <v>22.3395519</v>
      </c>
      <c r="Y2200" s="22">
        <v>924000</v>
      </c>
      <c r="Z2200" s="22">
        <v>-2.1294999999999999E-3</v>
      </c>
    </row>
    <row r="2201" spans="19:26" ht="16" x14ac:dyDescent="0.2">
      <c r="S2201" s="23">
        <v>45330</v>
      </c>
      <c r="T2201" s="22">
        <v>23.329999900000001</v>
      </c>
      <c r="U2201" s="22">
        <v>23.389999400000001</v>
      </c>
      <c r="V2201" s="22">
        <v>22.9300003</v>
      </c>
      <c r="W2201" s="22">
        <v>22.9400005</v>
      </c>
      <c r="X2201" s="22">
        <v>21.872356400000001</v>
      </c>
      <c r="Y2201" s="22">
        <v>957100</v>
      </c>
      <c r="Z2201" s="22">
        <v>-2.0913399999999999E-2</v>
      </c>
    </row>
    <row r="2202" spans="19:26" ht="16" x14ac:dyDescent="0.2">
      <c r="S2202" s="23">
        <v>45331</v>
      </c>
      <c r="T2202" s="22">
        <v>22.9400005</v>
      </c>
      <c r="U2202" s="22">
        <v>23.209999100000001</v>
      </c>
      <c r="V2202" s="22">
        <v>22.8199997</v>
      </c>
      <c r="W2202" s="22">
        <v>22.969999300000001</v>
      </c>
      <c r="X2202" s="22">
        <v>21.900959</v>
      </c>
      <c r="Y2202" s="22">
        <v>987800</v>
      </c>
      <c r="Z2202" s="22">
        <v>1.3077099999999999E-3</v>
      </c>
    </row>
    <row r="2203" spans="19:26" ht="16" x14ac:dyDescent="0.2">
      <c r="S2203" s="23">
        <v>45334</v>
      </c>
      <c r="T2203" s="22">
        <v>23.079999900000001</v>
      </c>
      <c r="U2203" s="22">
        <v>23.6299992</v>
      </c>
      <c r="V2203" s="22">
        <v>23</v>
      </c>
      <c r="W2203" s="22">
        <v>23.6200008</v>
      </c>
      <c r="X2203" s="22">
        <v>22.520710000000001</v>
      </c>
      <c r="Y2203" s="22">
        <v>705700</v>
      </c>
      <c r="Z2203" s="22">
        <v>2.8297889999999999E-2</v>
      </c>
    </row>
    <row r="2204" spans="19:26" ht="16" x14ac:dyDescent="0.2">
      <c r="S2204" s="23">
        <v>45335</v>
      </c>
      <c r="T2204" s="22">
        <v>22.969999300000001</v>
      </c>
      <c r="U2204" s="22">
        <v>23.209999100000001</v>
      </c>
      <c r="V2204" s="22">
        <v>22.719999300000001</v>
      </c>
      <c r="W2204" s="22">
        <v>22.899999600000001</v>
      </c>
      <c r="X2204" s="22">
        <v>21.834219000000001</v>
      </c>
      <c r="Y2204" s="22">
        <v>645400</v>
      </c>
      <c r="Z2204" s="22">
        <v>-3.0482700000000001E-2</v>
      </c>
    </row>
    <row r="2205" spans="19:26" ht="16" x14ac:dyDescent="0.2">
      <c r="S2205" s="23">
        <v>45336</v>
      </c>
      <c r="T2205" s="22">
        <v>23.020000499999998</v>
      </c>
      <c r="U2205" s="22">
        <v>23.200000800000002</v>
      </c>
      <c r="V2205" s="22">
        <v>22.899999600000001</v>
      </c>
      <c r="W2205" s="22">
        <v>23.020000499999998</v>
      </c>
      <c r="X2205" s="22">
        <v>21.9486332</v>
      </c>
      <c r="Y2205" s="22">
        <v>483200</v>
      </c>
      <c r="Z2205" s="22">
        <v>5.24013E-3</v>
      </c>
    </row>
    <row r="2206" spans="19:26" ht="16" x14ac:dyDescent="0.2">
      <c r="S2206" s="23">
        <v>45337</v>
      </c>
      <c r="T2206" s="22">
        <v>23.340000199999999</v>
      </c>
      <c r="U2206" s="22">
        <v>24.280000699999999</v>
      </c>
      <c r="V2206" s="22">
        <v>23.270000499999998</v>
      </c>
      <c r="W2206" s="22">
        <v>24.280000699999999</v>
      </c>
      <c r="X2206" s="22">
        <v>23.149992000000001</v>
      </c>
      <c r="Y2206" s="22">
        <v>807000</v>
      </c>
      <c r="Z2206" s="22">
        <v>5.4735020000000002E-2</v>
      </c>
    </row>
    <row r="2207" spans="19:26" ht="16" x14ac:dyDescent="0.2">
      <c r="S2207" s="23">
        <v>45338</v>
      </c>
      <c r="T2207" s="22">
        <v>24.020000499999998</v>
      </c>
      <c r="U2207" s="22">
        <v>24.350000399999999</v>
      </c>
      <c r="V2207" s="22">
        <v>23.860000599999999</v>
      </c>
      <c r="W2207" s="22">
        <v>24.0100002</v>
      </c>
      <c r="X2207" s="22">
        <v>22.8925591</v>
      </c>
      <c r="Y2207" s="22">
        <v>772700</v>
      </c>
      <c r="Z2207" s="22">
        <v>-1.11202E-2</v>
      </c>
    </row>
    <row r="2208" spans="19:26" ht="16" x14ac:dyDescent="0.2">
      <c r="S2208" s="23">
        <v>45342</v>
      </c>
      <c r="T2208" s="22">
        <v>23.790000899999999</v>
      </c>
      <c r="U2208" s="22">
        <v>24.1200008</v>
      </c>
      <c r="V2208" s="22">
        <v>23.7399998</v>
      </c>
      <c r="W2208" s="22">
        <v>23.9300003</v>
      </c>
      <c r="X2208" s="22">
        <v>22.816282300000001</v>
      </c>
      <c r="Y2208" s="22">
        <v>619900</v>
      </c>
      <c r="Z2208" s="22">
        <v>-3.3319000000000001E-3</v>
      </c>
    </row>
    <row r="2209" spans="19:26" ht="16" x14ac:dyDescent="0.2">
      <c r="S2209" s="23">
        <v>45343</v>
      </c>
      <c r="T2209" s="22">
        <v>23.6800003</v>
      </c>
      <c r="U2209" s="22">
        <v>23.899999600000001</v>
      </c>
      <c r="V2209" s="22">
        <v>23.5100002</v>
      </c>
      <c r="W2209" s="22">
        <v>23.670000099999999</v>
      </c>
      <c r="X2209" s="22">
        <v>22.5683823</v>
      </c>
      <c r="Y2209" s="22">
        <v>738300</v>
      </c>
      <c r="Z2209" s="22">
        <v>-1.0865E-2</v>
      </c>
    </row>
    <row r="2210" spans="19:26" ht="16" x14ac:dyDescent="0.2">
      <c r="S2210" s="23">
        <v>45344</v>
      </c>
      <c r="T2210" s="22">
        <v>23.25</v>
      </c>
      <c r="U2210" s="22">
        <v>23.5</v>
      </c>
      <c r="V2210" s="22">
        <v>21.790000899999999</v>
      </c>
      <c r="W2210" s="22">
        <v>22.590000199999999</v>
      </c>
      <c r="X2210" s="22">
        <v>21.5386448</v>
      </c>
      <c r="Y2210" s="22">
        <v>1476600</v>
      </c>
      <c r="Z2210" s="22">
        <v>-4.5627399999999999E-2</v>
      </c>
    </row>
    <row r="2211" spans="19:26" ht="16" x14ac:dyDescent="0.2">
      <c r="S2211" s="23">
        <v>45345</v>
      </c>
      <c r="T2211" s="22">
        <v>22.540000899999999</v>
      </c>
      <c r="U2211" s="22">
        <v>22.6299992</v>
      </c>
      <c r="V2211" s="22">
        <v>22.110000599999999</v>
      </c>
      <c r="W2211" s="22">
        <v>22.1800003</v>
      </c>
      <c r="X2211" s="22">
        <v>21.147728000000001</v>
      </c>
      <c r="Y2211" s="22">
        <v>1051100</v>
      </c>
      <c r="Z2211" s="22">
        <v>-1.8149599999999998E-2</v>
      </c>
    </row>
    <row r="2212" spans="19:26" ht="16" x14ac:dyDescent="0.2">
      <c r="S2212" s="23">
        <v>45348</v>
      </c>
      <c r="T2212" s="22">
        <v>22.1800003</v>
      </c>
      <c r="U2212" s="22">
        <v>22.229999500000002</v>
      </c>
      <c r="V2212" s="22">
        <v>21.6299992</v>
      </c>
      <c r="W2212" s="22">
        <v>21.670000099999999</v>
      </c>
      <c r="X2212" s="22">
        <v>20.661462799999999</v>
      </c>
      <c r="Y2212" s="22">
        <v>880900</v>
      </c>
      <c r="Z2212" s="22">
        <v>-2.2993699999999999E-2</v>
      </c>
    </row>
    <row r="2213" spans="19:26" ht="16" x14ac:dyDescent="0.2">
      <c r="S2213" s="23">
        <v>45349</v>
      </c>
      <c r="T2213" s="22">
        <v>21.889999400000001</v>
      </c>
      <c r="U2213" s="22">
        <v>22.360000599999999</v>
      </c>
      <c r="V2213" s="22">
        <v>21.770000499999998</v>
      </c>
      <c r="W2213" s="22">
        <v>22.350000399999999</v>
      </c>
      <c r="X2213" s="22">
        <v>21.309816399999999</v>
      </c>
      <c r="Y2213" s="22">
        <v>967100</v>
      </c>
      <c r="Z2213" s="22">
        <v>3.1379850000000001E-2</v>
      </c>
    </row>
    <row r="2214" spans="19:26" ht="16" x14ac:dyDescent="0.2">
      <c r="S2214" s="23">
        <v>45350</v>
      </c>
      <c r="T2214" s="22">
        <v>22.170000099999999</v>
      </c>
      <c r="U2214" s="22">
        <v>22.270000499999998</v>
      </c>
      <c r="V2214" s="22">
        <v>21.959999100000001</v>
      </c>
      <c r="W2214" s="22">
        <v>22.100000399999999</v>
      </c>
      <c r="X2214" s="22">
        <v>21.071451199999998</v>
      </c>
      <c r="Y2214" s="22">
        <v>868600</v>
      </c>
      <c r="Z2214" s="22">
        <v>-1.11857E-2</v>
      </c>
    </row>
    <row r="2215" spans="19:26" ht="16" x14ac:dyDescent="0.2">
      <c r="S2215" s="23">
        <v>45351</v>
      </c>
      <c r="T2215" s="22">
        <v>21.909999800000001</v>
      </c>
      <c r="U2215" s="22">
        <v>22.280000699999999</v>
      </c>
      <c r="V2215" s="22">
        <v>21.6200008</v>
      </c>
      <c r="W2215" s="22">
        <v>21.799999199999998</v>
      </c>
      <c r="X2215" s="22">
        <v>21.171480200000001</v>
      </c>
      <c r="Y2215" s="22">
        <v>1084900</v>
      </c>
      <c r="Z2215" s="22">
        <v>4.7471299999999996E-3</v>
      </c>
    </row>
    <row r="2216" spans="19:26" ht="16" x14ac:dyDescent="0.2">
      <c r="S2216" s="23">
        <v>45352</v>
      </c>
      <c r="T2216" s="22">
        <v>21.969999300000001</v>
      </c>
      <c r="U2216" s="22">
        <v>22.1299992</v>
      </c>
      <c r="V2216" s="22">
        <v>21.579999900000001</v>
      </c>
      <c r="W2216" s="22">
        <v>22.0100002</v>
      </c>
      <c r="X2216" s="22">
        <v>21.375427200000001</v>
      </c>
      <c r="Y2216" s="22">
        <v>1044500</v>
      </c>
      <c r="Z2216" s="22">
        <v>9.6331000000000003E-3</v>
      </c>
    </row>
    <row r="2217" spans="19:26" ht="16" x14ac:dyDescent="0.2">
      <c r="S2217" s="23">
        <v>45355</v>
      </c>
      <c r="T2217" s="22">
        <v>21.899999600000001</v>
      </c>
      <c r="U2217" s="22">
        <v>22.090000199999999</v>
      </c>
      <c r="V2217" s="22">
        <v>21.479999500000002</v>
      </c>
      <c r="W2217" s="22">
        <v>21.899999600000001</v>
      </c>
      <c r="X2217" s="22">
        <v>21.268596599999999</v>
      </c>
      <c r="Y2217" s="22">
        <v>1040900</v>
      </c>
      <c r="Z2217" s="22">
        <v>-4.9978000000000002E-3</v>
      </c>
    </row>
    <row r="2218" spans="19:26" ht="16" x14ac:dyDescent="0.2">
      <c r="S2218" s="23">
        <v>45356</v>
      </c>
      <c r="T2218" s="22">
        <v>21.8199997</v>
      </c>
      <c r="U2218" s="22">
        <v>22.049999199999998</v>
      </c>
      <c r="V2218" s="22">
        <v>21.670000099999999</v>
      </c>
      <c r="W2218" s="22">
        <v>21.790000899999999</v>
      </c>
      <c r="X2218" s="22">
        <v>21.161769899999999</v>
      </c>
      <c r="Y2218" s="22">
        <v>831500</v>
      </c>
      <c r="Z2218" s="22">
        <v>-5.0226999999999997E-3</v>
      </c>
    </row>
    <row r="2219" spans="19:26" ht="16" x14ac:dyDescent="0.2">
      <c r="S2219" s="23">
        <v>45357</v>
      </c>
      <c r="T2219" s="22">
        <v>22.0699997</v>
      </c>
      <c r="U2219" s="22">
        <v>22.1200008</v>
      </c>
      <c r="V2219" s="22">
        <v>21.860000599999999</v>
      </c>
      <c r="W2219" s="22">
        <v>22.020000499999998</v>
      </c>
      <c r="X2219" s="22">
        <v>21.3851376</v>
      </c>
      <c r="Y2219" s="22">
        <v>753800</v>
      </c>
      <c r="Z2219" s="22">
        <v>1.055525E-2</v>
      </c>
    </row>
    <row r="2220" spans="19:26" ht="16" x14ac:dyDescent="0.2">
      <c r="S2220" s="23">
        <v>45358</v>
      </c>
      <c r="T2220" s="22">
        <v>22.200000800000002</v>
      </c>
      <c r="U2220" s="22">
        <v>22.299999199999998</v>
      </c>
      <c r="V2220" s="22">
        <v>21.9400005</v>
      </c>
      <c r="W2220" s="22">
        <v>22.1200008</v>
      </c>
      <c r="X2220" s="22">
        <v>21.482254000000001</v>
      </c>
      <c r="Y2220" s="22">
        <v>628500</v>
      </c>
      <c r="Z2220" s="22">
        <v>4.5413099999999998E-3</v>
      </c>
    </row>
    <row r="2221" spans="19:26" ht="16" x14ac:dyDescent="0.2">
      <c r="S2221" s="23">
        <v>45359</v>
      </c>
      <c r="T2221" s="22">
        <v>22.350000399999999</v>
      </c>
      <c r="U2221" s="22">
        <v>22.6200008</v>
      </c>
      <c r="V2221" s="22">
        <v>22.159999800000001</v>
      </c>
      <c r="W2221" s="22">
        <v>22.5599995</v>
      </c>
      <c r="X2221" s="22">
        <v>21.909566900000002</v>
      </c>
      <c r="Y2221" s="22">
        <v>640200</v>
      </c>
      <c r="Z2221" s="22">
        <v>1.9891430000000002E-2</v>
      </c>
    </row>
    <row r="2222" spans="19:26" ht="16" x14ac:dyDescent="0.2">
      <c r="S2222" s="23">
        <v>45362</v>
      </c>
      <c r="T2222" s="22">
        <v>22.5100002</v>
      </c>
      <c r="U2222" s="22">
        <v>22.9300003</v>
      </c>
      <c r="V2222" s="22">
        <v>22.110000599999999</v>
      </c>
      <c r="W2222" s="22">
        <v>22.290000899999999</v>
      </c>
      <c r="X2222" s="22">
        <v>21.647354100000001</v>
      </c>
      <c r="Y2222" s="22">
        <v>697700</v>
      </c>
      <c r="Z2222" s="22">
        <v>-1.1967999999999999E-2</v>
      </c>
    </row>
    <row r="2223" spans="19:26" ht="16" x14ac:dyDescent="0.2">
      <c r="S2223" s="23">
        <v>45363</v>
      </c>
      <c r="T2223" s="22">
        <v>22.100000399999999</v>
      </c>
      <c r="U2223" s="22">
        <v>22.2399998</v>
      </c>
      <c r="V2223" s="22">
        <v>21.579999900000001</v>
      </c>
      <c r="W2223" s="22">
        <v>21.770000499999998</v>
      </c>
      <c r="X2223" s="22">
        <v>21.1423454</v>
      </c>
      <c r="Y2223" s="22">
        <v>729100</v>
      </c>
      <c r="Z2223" s="22">
        <v>-2.33289E-2</v>
      </c>
    </row>
    <row r="2224" spans="19:26" ht="16" x14ac:dyDescent="0.2">
      <c r="S2224" s="23">
        <v>45364</v>
      </c>
      <c r="T2224" s="22">
        <v>21.799999199999998</v>
      </c>
      <c r="U2224" s="22">
        <v>22.0100002</v>
      </c>
      <c r="V2224" s="22">
        <v>21.389999400000001</v>
      </c>
      <c r="W2224" s="22">
        <v>21.4300003</v>
      </c>
      <c r="X2224" s="22">
        <v>20.812149000000002</v>
      </c>
      <c r="Y2224" s="22">
        <v>1092200</v>
      </c>
      <c r="Z2224" s="22">
        <v>-1.5617799999999999E-2</v>
      </c>
    </row>
    <row r="2225" spans="19:26" ht="16" x14ac:dyDescent="0.2">
      <c r="S2225" s="23">
        <v>45365</v>
      </c>
      <c r="T2225" s="22">
        <v>21.3799992</v>
      </c>
      <c r="U2225" s="22">
        <v>21.4400005</v>
      </c>
      <c r="V2225" s="22">
        <v>20.6299992</v>
      </c>
      <c r="W2225" s="22">
        <v>20.889999400000001</v>
      </c>
      <c r="X2225" s="22">
        <v>20.287715899999998</v>
      </c>
      <c r="Y2225" s="22">
        <v>1110500</v>
      </c>
      <c r="Z2225" s="22">
        <v>-2.5198399999999999E-2</v>
      </c>
    </row>
    <row r="2226" spans="19:26" ht="16" x14ac:dyDescent="0.2">
      <c r="S2226" s="23">
        <v>45366</v>
      </c>
      <c r="T2226" s="22">
        <v>20.860000599999999</v>
      </c>
      <c r="U2226" s="22">
        <v>21.149999600000001</v>
      </c>
      <c r="V2226" s="22">
        <v>20.8099995</v>
      </c>
      <c r="W2226" s="22">
        <v>21.049999199999998</v>
      </c>
      <c r="X2226" s="22">
        <v>20.443103799999999</v>
      </c>
      <c r="Y2226" s="22">
        <v>1696200</v>
      </c>
      <c r="Z2226" s="22">
        <v>7.6592099999999996E-3</v>
      </c>
    </row>
    <row r="2227" spans="19:26" ht="16" x14ac:dyDescent="0.2">
      <c r="S2227" s="23">
        <v>45369</v>
      </c>
      <c r="T2227" s="22">
        <v>21</v>
      </c>
      <c r="U2227" s="22">
        <v>21.229999500000002</v>
      </c>
      <c r="V2227" s="22">
        <v>20.790000899999999</v>
      </c>
      <c r="W2227" s="22">
        <v>21.0100002</v>
      </c>
      <c r="X2227" s="22">
        <v>20.404256799999999</v>
      </c>
      <c r="Y2227" s="22">
        <v>889700</v>
      </c>
      <c r="Z2227" s="22">
        <v>-1.9001999999999999E-3</v>
      </c>
    </row>
    <row r="2228" spans="19:26" ht="16" x14ac:dyDescent="0.2">
      <c r="S2228" s="23">
        <v>45370</v>
      </c>
      <c r="T2228" s="22">
        <v>20.9300003</v>
      </c>
      <c r="U2228" s="22">
        <v>21.3199997</v>
      </c>
      <c r="V2228" s="22">
        <v>20.9300003</v>
      </c>
      <c r="W2228" s="22">
        <v>21.1299992</v>
      </c>
      <c r="X2228" s="22">
        <v>20.520797699999999</v>
      </c>
      <c r="Y2228" s="22">
        <v>831500</v>
      </c>
      <c r="Z2228" s="22">
        <v>5.7115999999999998E-3</v>
      </c>
    </row>
    <row r="2229" spans="19:26" ht="16" x14ac:dyDescent="0.2">
      <c r="S2229" s="23">
        <v>45371</v>
      </c>
      <c r="T2229" s="22">
        <v>21.139999400000001</v>
      </c>
      <c r="U2229" s="22">
        <v>21.389999400000001</v>
      </c>
      <c r="V2229" s="22">
        <v>20.8700008</v>
      </c>
      <c r="W2229" s="22">
        <v>21.200000800000002</v>
      </c>
      <c r="X2229" s="22">
        <v>20.5887794</v>
      </c>
      <c r="Y2229" s="22">
        <v>1007500</v>
      </c>
      <c r="Z2229" s="22">
        <v>3.3128200000000002E-3</v>
      </c>
    </row>
    <row r="2230" spans="19:26" ht="16" x14ac:dyDescent="0.2">
      <c r="S2230" s="23">
        <v>45372</v>
      </c>
      <c r="T2230" s="22">
        <v>21.280000699999999</v>
      </c>
      <c r="U2230" s="22">
        <v>21.850000399999999</v>
      </c>
      <c r="V2230" s="22">
        <v>21.229999500000002</v>
      </c>
      <c r="W2230" s="22">
        <v>21.25</v>
      </c>
      <c r="X2230" s="22">
        <v>20.637336699999999</v>
      </c>
      <c r="Y2230" s="22">
        <v>889100</v>
      </c>
      <c r="Z2230" s="22">
        <v>2.3584299999999999E-3</v>
      </c>
    </row>
    <row r="2231" spans="19:26" ht="16" x14ac:dyDescent="0.2">
      <c r="S2231" s="23">
        <v>45373</v>
      </c>
      <c r="T2231" s="22">
        <v>21.420000099999999</v>
      </c>
      <c r="U2231" s="22">
        <v>21.479999500000002</v>
      </c>
      <c r="V2231" s="22">
        <v>21.0599995</v>
      </c>
      <c r="W2231" s="22">
        <v>21.340000199999999</v>
      </c>
      <c r="X2231" s="22">
        <v>20.724742899999999</v>
      </c>
      <c r="Y2231" s="22">
        <v>893000</v>
      </c>
      <c r="Z2231" s="22">
        <v>4.2353399999999998E-3</v>
      </c>
    </row>
    <row r="2232" spans="19:26" ht="16" x14ac:dyDescent="0.2">
      <c r="S2232" s="23">
        <v>45376</v>
      </c>
      <c r="T2232" s="22">
        <v>21.450000800000002</v>
      </c>
      <c r="U2232" s="22">
        <v>21.700000800000002</v>
      </c>
      <c r="V2232" s="22">
        <v>21.399999600000001</v>
      </c>
      <c r="W2232" s="22">
        <v>21.4400005</v>
      </c>
      <c r="X2232" s="22">
        <v>20.821861299999998</v>
      </c>
      <c r="Y2232" s="22">
        <v>756500</v>
      </c>
      <c r="Z2232" s="22">
        <v>4.6861100000000003E-3</v>
      </c>
    </row>
    <row r="2233" spans="19:26" ht="16" x14ac:dyDescent="0.2">
      <c r="S2233" s="23">
        <v>45377</v>
      </c>
      <c r="T2233" s="22">
        <v>21.579999900000001</v>
      </c>
      <c r="U2233" s="22">
        <v>21.639999400000001</v>
      </c>
      <c r="V2233" s="22">
        <v>21.340000199999999</v>
      </c>
      <c r="W2233" s="22">
        <v>21.530000699999999</v>
      </c>
      <c r="X2233" s="22">
        <v>20.9092655</v>
      </c>
      <c r="Y2233" s="22">
        <v>846000</v>
      </c>
      <c r="Z2233" s="22">
        <v>4.1977200000000003E-3</v>
      </c>
    </row>
    <row r="2234" spans="19:26" ht="16" x14ac:dyDescent="0.2">
      <c r="S2234" s="23">
        <v>45378</v>
      </c>
      <c r="T2234" s="22">
        <v>21.729999500000002</v>
      </c>
      <c r="U2234" s="22">
        <v>22.5100002</v>
      </c>
      <c r="V2234" s="22">
        <v>21.709999100000001</v>
      </c>
      <c r="W2234" s="22">
        <v>22.389999400000001</v>
      </c>
      <c r="X2234" s="22">
        <v>21.7444706</v>
      </c>
      <c r="Y2234" s="22">
        <v>904300</v>
      </c>
      <c r="Z2234" s="22">
        <v>3.9944260000000002E-2</v>
      </c>
    </row>
    <row r="2235" spans="19:26" ht="16" x14ac:dyDescent="0.2">
      <c r="S2235" s="23">
        <v>45379</v>
      </c>
      <c r="T2235" s="22">
        <v>22.399999600000001</v>
      </c>
      <c r="U2235" s="22">
        <v>23.079999900000001</v>
      </c>
      <c r="V2235" s="22">
        <v>22.399999600000001</v>
      </c>
      <c r="W2235" s="22">
        <v>23.049999199999998</v>
      </c>
      <c r="X2235" s="22">
        <v>22.385440800000001</v>
      </c>
      <c r="Y2235" s="22">
        <v>1248300</v>
      </c>
      <c r="Z2235" s="22">
        <v>2.9477389999999999E-2</v>
      </c>
    </row>
    <row r="2236" spans="19:26" ht="16" x14ac:dyDescent="0.2">
      <c r="S2236" s="23">
        <v>45383</v>
      </c>
      <c r="T2236" s="22">
        <v>23.090000199999999</v>
      </c>
      <c r="U2236" s="22">
        <v>23.209999100000001</v>
      </c>
      <c r="V2236" s="22">
        <v>22.829999900000001</v>
      </c>
      <c r="W2236" s="22">
        <v>23.0699997</v>
      </c>
      <c r="X2236" s="22">
        <v>22.404865300000001</v>
      </c>
      <c r="Y2236" s="22">
        <v>1000100</v>
      </c>
      <c r="Z2236" s="22">
        <v>8.6773000000000004E-4</v>
      </c>
    </row>
    <row r="2237" spans="19:26" ht="16" x14ac:dyDescent="0.2">
      <c r="S2237" s="23">
        <v>45384</v>
      </c>
      <c r="T2237" s="22">
        <v>23.5100002</v>
      </c>
      <c r="U2237" s="22">
        <v>23.719999300000001</v>
      </c>
      <c r="V2237" s="22">
        <v>23.3199997</v>
      </c>
      <c r="W2237" s="22">
        <v>23.530000699999999</v>
      </c>
      <c r="X2237" s="22">
        <v>22.851604500000001</v>
      </c>
      <c r="Y2237" s="22">
        <v>1341500</v>
      </c>
      <c r="Z2237" s="22">
        <v>1.993938E-2</v>
      </c>
    </row>
    <row r="2238" spans="19:26" ht="16" x14ac:dyDescent="0.2">
      <c r="S2238" s="23">
        <v>45385</v>
      </c>
      <c r="T2238" s="22">
        <v>23.2600002</v>
      </c>
      <c r="U2238" s="22">
        <v>23.7600002</v>
      </c>
      <c r="V2238" s="22">
        <v>23.1800003</v>
      </c>
      <c r="W2238" s="22">
        <v>23.6900005</v>
      </c>
      <c r="X2238" s="22">
        <v>23.006990399999999</v>
      </c>
      <c r="Y2238" s="22">
        <v>1276900</v>
      </c>
      <c r="Z2238" s="22">
        <v>6.7997800000000001E-3</v>
      </c>
    </row>
    <row r="2239" spans="19:26" ht="16" x14ac:dyDescent="0.2">
      <c r="S2239" s="23">
        <v>45386</v>
      </c>
      <c r="T2239" s="22">
        <v>23.9300003</v>
      </c>
      <c r="U2239" s="22">
        <v>24.0100002</v>
      </c>
      <c r="V2239" s="22">
        <v>23.350000399999999</v>
      </c>
      <c r="W2239" s="22">
        <v>23.459999100000001</v>
      </c>
      <c r="X2239" s="22">
        <v>22.7836189</v>
      </c>
      <c r="Y2239" s="22">
        <v>769200</v>
      </c>
      <c r="Z2239" s="22">
        <v>-9.7088999999999995E-3</v>
      </c>
    </row>
    <row r="2240" spans="19:26" ht="16" x14ac:dyDescent="0.2">
      <c r="S2240" s="23">
        <v>45387</v>
      </c>
      <c r="T2240" s="22">
        <v>23.219999300000001</v>
      </c>
      <c r="U2240" s="22">
        <v>23.590000199999999</v>
      </c>
      <c r="V2240" s="22">
        <v>23.079999900000001</v>
      </c>
      <c r="W2240" s="22">
        <v>23.469999300000001</v>
      </c>
      <c r="X2240" s="22">
        <v>22.7933311</v>
      </c>
      <c r="Y2240" s="22">
        <v>830900</v>
      </c>
      <c r="Z2240" s="22">
        <v>4.2628000000000002E-4</v>
      </c>
    </row>
    <row r="2241" spans="19:26" ht="16" x14ac:dyDescent="0.2">
      <c r="S2241" s="23">
        <v>45390</v>
      </c>
      <c r="T2241" s="22">
        <v>23.6200008</v>
      </c>
      <c r="U2241" s="22">
        <v>24.090000199999999</v>
      </c>
      <c r="V2241" s="22">
        <v>23.5100002</v>
      </c>
      <c r="W2241" s="22">
        <v>23.899999600000001</v>
      </c>
      <c r="X2241" s="22">
        <v>23.210933699999998</v>
      </c>
      <c r="Y2241" s="22">
        <v>976000</v>
      </c>
      <c r="Z2241" s="22">
        <v>1.8321259999999999E-2</v>
      </c>
    </row>
    <row r="2242" spans="19:26" ht="16" x14ac:dyDescent="0.2">
      <c r="S2242" s="23">
        <v>45391</v>
      </c>
      <c r="T2242" s="22">
        <v>23.959999100000001</v>
      </c>
      <c r="U2242" s="22">
        <v>24.389999400000001</v>
      </c>
      <c r="V2242" s="22">
        <v>23.959999100000001</v>
      </c>
      <c r="W2242" s="22">
        <v>24.209999100000001</v>
      </c>
      <c r="X2242" s="22">
        <v>23.511995299999999</v>
      </c>
      <c r="Y2242" s="22">
        <v>1038100</v>
      </c>
      <c r="Z2242" s="22">
        <v>1.297068E-2</v>
      </c>
    </row>
    <row r="2243" spans="19:26" ht="16" x14ac:dyDescent="0.2">
      <c r="S2243" s="23">
        <v>45392</v>
      </c>
      <c r="T2243" s="22">
        <v>23.549999199999998</v>
      </c>
      <c r="U2243" s="22">
        <v>23.549999199999998</v>
      </c>
      <c r="V2243" s="22">
        <v>23.049999199999998</v>
      </c>
      <c r="W2243" s="22">
        <v>23.209999100000001</v>
      </c>
      <c r="X2243" s="22">
        <v>22.540826800000001</v>
      </c>
      <c r="Y2243" s="22">
        <v>978300</v>
      </c>
      <c r="Z2243" s="22">
        <v>-4.13052E-2</v>
      </c>
    </row>
    <row r="2244" spans="19:26" ht="16" x14ac:dyDescent="0.2">
      <c r="S2244" s="23">
        <v>45393</v>
      </c>
      <c r="T2244" s="22">
        <v>23.450000800000002</v>
      </c>
      <c r="U2244" s="22">
        <v>23.700000800000002</v>
      </c>
      <c r="V2244" s="22">
        <v>23.1900005</v>
      </c>
      <c r="W2244" s="22">
        <v>23.5100002</v>
      </c>
      <c r="X2244" s="22">
        <v>22.832180000000001</v>
      </c>
      <c r="Y2244" s="22">
        <v>743400</v>
      </c>
      <c r="Z2244" s="22">
        <v>1.2925580000000001E-2</v>
      </c>
    </row>
    <row r="2245" spans="19:26" ht="16" x14ac:dyDescent="0.2">
      <c r="S2245" s="23">
        <v>45394</v>
      </c>
      <c r="T2245" s="22">
        <v>23.590000199999999</v>
      </c>
      <c r="U2245" s="22">
        <v>23.829999900000001</v>
      </c>
      <c r="V2245" s="22">
        <v>22.7600002</v>
      </c>
      <c r="W2245" s="22">
        <v>22.8199997</v>
      </c>
      <c r="X2245" s="22">
        <v>22.1620712</v>
      </c>
      <c r="Y2245" s="22">
        <v>680600</v>
      </c>
      <c r="Z2245" s="22">
        <v>-2.9349299999999998E-2</v>
      </c>
    </row>
    <row r="2246" spans="19:26" ht="16" x14ac:dyDescent="0.2">
      <c r="S2246" s="23">
        <v>45397</v>
      </c>
      <c r="T2246" s="22">
        <v>22.719999300000001</v>
      </c>
      <c r="U2246" s="22">
        <v>22.950000800000002</v>
      </c>
      <c r="V2246" s="22">
        <v>22.290000899999999</v>
      </c>
      <c r="W2246" s="22">
        <v>22.4899998</v>
      </c>
      <c r="X2246" s="22">
        <v>21.841587100000002</v>
      </c>
      <c r="Y2246" s="22">
        <v>1036400</v>
      </c>
      <c r="Z2246" s="22">
        <v>-1.44609E-2</v>
      </c>
    </row>
    <row r="2247" spans="19:26" ht="16" x14ac:dyDescent="0.2">
      <c r="S2247" s="23">
        <v>45398</v>
      </c>
      <c r="T2247" s="22">
        <v>22.389999400000001</v>
      </c>
      <c r="U2247" s="22">
        <v>22.4400005</v>
      </c>
      <c r="V2247" s="22">
        <v>21.719999300000001</v>
      </c>
      <c r="W2247" s="22">
        <v>21.770000499999998</v>
      </c>
      <c r="X2247" s="22">
        <v>21.1423454</v>
      </c>
      <c r="Y2247" s="22">
        <v>1002200</v>
      </c>
      <c r="Z2247" s="22">
        <v>-3.20142E-2</v>
      </c>
    </row>
    <row r="2248" spans="19:26" ht="16" x14ac:dyDescent="0.2">
      <c r="S2248" s="23">
        <v>45399</v>
      </c>
      <c r="T2248" s="22">
        <v>22.0100002</v>
      </c>
      <c r="U2248" s="22">
        <v>22.409999800000001</v>
      </c>
      <c r="V2248" s="22">
        <v>21.8099995</v>
      </c>
      <c r="W2248" s="22">
        <v>22.25</v>
      </c>
      <c r="X2248" s="22">
        <v>21.6085052</v>
      </c>
      <c r="Y2248" s="22">
        <v>743400</v>
      </c>
      <c r="Z2248" s="22">
        <v>2.204863E-2</v>
      </c>
    </row>
    <row r="2249" spans="19:26" ht="16" x14ac:dyDescent="0.2">
      <c r="S2249" s="23">
        <v>45400</v>
      </c>
      <c r="T2249" s="22">
        <v>22.340000199999999</v>
      </c>
      <c r="U2249" s="22">
        <v>22.600000399999999</v>
      </c>
      <c r="V2249" s="22">
        <v>22.270000499999998</v>
      </c>
      <c r="W2249" s="22">
        <v>22.5</v>
      </c>
      <c r="X2249" s="22">
        <v>21.851299300000001</v>
      </c>
      <c r="Y2249" s="22">
        <v>730400</v>
      </c>
      <c r="Z2249" s="22">
        <v>1.1236039999999999E-2</v>
      </c>
    </row>
    <row r="2250" spans="19:26" ht="16" x14ac:dyDescent="0.2">
      <c r="S2250" s="23">
        <v>45401</v>
      </c>
      <c r="T2250" s="22">
        <v>22.420000099999999</v>
      </c>
      <c r="U2250" s="22">
        <v>22.8099995</v>
      </c>
      <c r="V2250" s="22">
        <v>22.420000099999999</v>
      </c>
      <c r="W2250" s="22">
        <v>22.790000899999999</v>
      </c>
      <c r="X2250" s="22">
        <v>22.1329384</v>
      </c>
      <c r="Y2250" s="22">
        <v>1610900</v>
      </c>
      <c r="Z2250" s="22">
        <v>1.288889E-2</v>
      </c>
    </row>
    <row r="2251" spans="19:26" ht="16" x14ac:dyDescent="0.2">
      <c r="S2251" s="23">
        <v>45404</v>
      </c>
      <c r="T2251" s="22">
        <v>22.790000899999999</v>
      </c>
      <c r="U2251" s="22">
        <v>23.139999400000001</v>
      </c>
      <c r="V2251" s="22">
        <v>22.610000599999999</v>
      </c>
      <c r="W2251" s="22">
        <v>23.0599995</v>
      </c>
      <c r="X2251" s="22">
        <v>22.395153000000001</v>
      </c>
      <c r="Y2251" s="22">
        <v>608800</v>
      </c>
      <c r="Z2251" s="22">
        <v>1.184726E-2</v>
      </c>
    </row>
    <row r="2252" spans="19:26" ht="16" x14ac:dyDescent="0.2">
      <c r="S2252" s="23">
        <v>45405</v>
      </c>
      <c r="T2252" s="22">
        <v>22.950000800000002</v>
      </c>
      <c r="U2252" s="22">
        <v>23.75</v>
      </c>
      <c r="V2252" s="22">
        <v>22.950000800000002</v>
      </c>
      <c r="W2252" s="22">
        <v>23.590000199999999</v>
      </c>
      <c r="X2252" s="22">
        <v>22.909872100000001</v>
      </c>
      <c r="Y2252" s="22">
        <v>904000</v>
      </c>
      <c r="Z2252" s="22">
        <v>2.29835E-2</v>
      </c>
    </row>
    <row r="2253" spans="19:26" ht="16" x14ac:dyDescent="0.2">
      <c r="S2253" s="23">
        <v>45406</v>
      </c>
      <c r="T2253" s="22">
        <v>23.479999500000002</v>
      </c>
      <c r="U2253" s="22">
        <v>23.6200008</v>
      </c>
      <c r="V2253" s="22">
        <v>23.25</v>
      </c>
      <c r="W2253" s="22">
        <v>23.360000599999999</v>
      </c>
      <c r="X2253" s="22">
        <v>22.6865044</v>
      </c>
      <c r="Y2253" s="22">
        <v>736200</v>
      </c>
      <c r="Z2253" s="22">
        <v>-9.7497999999999994E-3</v>
      </c>
    </row>
    <row r="2254" spans="19:26" ht="16" x14ac:dyDescent="0.2">
      <c r="S2254" s="23">
        <v>45407</v>
      </c>
      <c r="T2254" s="22">
        <v>23.229999500000002</v>
      </c>
      <c r="U2254" s="22">
        <v>23.299999199999998</v>
      </c>
      <c r="V2254" s="22">
        <v>22.6900005</v>
      </c>
      <c r="W2254" s="22">
        <v>23.079999900000001</v>
      </c>
      <c r="X2254" s="22">
        <v>22.414575599999999</v>
      </c>
      <c r="Y2254" s="22">
        <v>789700</v>
      </c>
      <c r="Z2254" s="22">
        <v>-1.1986399999999999E-2</v>
      </c>
    </row>
    <row r="2255" spans="19:26" ht="16" x14ac:dyDescent="0.2">
      <c r="S2255" s="23">
        <v>45408</v>
      </c>
      <c r="T2255" s="22">
        <v>23.1800003</v>
      </c>
      <c r="U2255" s="22">
        <v>23.4899998</v>
      </c>
      <c r="V2255" s="22">
        <v>23</v>
      </c>
      <c r="W2255" s="22">
        <v>23.139999400000001</v>
      </c>
      <c r="X2255" s="22">
        <v>22.472847000000002</v>
      </c>
      <c r="Y2255" s="22">
        <v>575400</v>
      </c>
      <c r="Z2255" s="22">
        <v>2.5997099999999999E-3</v>
      </c>
    </row>
    <row r="2256" spans="19:26" ht="16" x14ac:dyDescent="0.2">
      <c r="S2256" s="23">
        <v>45411</v>
      </c>
      <c r="T2256" s="22">
        <v>23.2600002</v>
      </c>
      <c r="U2256" s="22">
        <v>23.5699997</v>
      </c>
      <c r="V2256" s="22">
        <v>23.2600002</v>
      </c>
      <c r="W2256" s="22">
        <v>23.459999100000001</v>
      </c>
      <c r="X2256" s="22">
        <v>22.7836189</v>
      </c>
      <c r="Y2256" s="22">
        <v>540000</v>
      </c>
      <c r="Z2256" s="22">
        <v>1.3828770000000001E-2</v>
      </c>
    </row>
    <row r="2257" spans="19:26" ht="16" x14ac:dyDescent="0.2">
      <c r="S2257" s="23">
        <v>45412</v>
      </c>
      <c r="T2257" s="22">
        <v>23.229999500000002</v>
      </c>
      <c r="U2257" s="22">
        <v>23.409999800000001</v>
      </c>
      <c r="V2257" s="22">
        <v>23.0699997</v>
      </c>
      <c r="W2257" s="22">
        <v>23.3799992</v>
      </c>
      <c r="X2257" s="22">
        <v>22.705926900000001</v>
      </c>
      <c r="Y2257" s="22">
        <v>1021700</v>
      </c>
      <c r="Z2257" s="22">
        <v>-3.4099999999999998E-3</v>
      </c>
    </row>
    <row r="2258" spans="19:26" ht="16" x14ac:dyDescent="0.2">
      <c r="S2258" s="23">
        <v>45413</v>
      </c>
      <c r="T2258" s="22">
        <v>23.219999300000001</v>
      </c>
      <c r="U2258" s="22">
        <v>23.649999600000001</v>
      </c>
      <c r="V2258" s="22">
        <v>22.75</v>
      </c>
      <c r="W2258" s="22">
        <v>23.329999900000001</v>
      </c>
      <c r="X2258" s="22">
        <v>22.657369599999999</v>
      </c>
      <c r="Y2258" s="22">
        <v>1298300</v>
      </c>
      <c r="Z2258" s="22">
        <v>-2.1385000000000002E-3</v>
      </c>
    </row>
    <row r="2259" spans="19:26" ht="16" x14ac:dyDescent="0.2">
      <c r="S2259" s="23">
        <v>45414</v>
      </c>
      <c r="T2259" s="22">
        <v>23.590000199999999</v>
      </c>
      <c r="U2259" s="22">
        <v>23.790000899999999</v>
      </c>
      <c r="V2259" s="22">
        <v>23.290000899999999</v>
      </c>
      <c r="W2259" s="22">
        <v>23.700000800000002</v>
      </c>
      <c r="X2259" s="22">
        <v>23.0167027</v>
      </c>
      <c r="Y2259" s="22">
        <v>666400</v>
      </c>
      <c r="Z2259" s="22">
        <v>1.5859430000000001E-2</v>
      </c>
    </row>
    <row r="2260" spans="19:26" ht="16" x14ac:dyDescent="0.2">
      <c r="S2260" s="23">
        <v>45415</v>
      </c>
      <c r="T2260" s="22">
        <v>24.0100002</v>
      </c>
      <c r="U2260" s="22">
        <v>24.6800003</v>
      </c>
      <c r="V2260" s="22">
        <v>24.0100002</v>
      </c>
      <c r="W2260" s="22">
        <v>24.4300003</v>
      </c>
      <c r="X2260" s="22">
        <v>23.725654599999999</v>
      </c>
      <c r="Y2260" s="22">
        <v>964500</v>
      </c>
      <c r="Z2260" s="22">
        <v>3.080163E-2</v>
      </c>
    </row>
    <row r="2261" spans="19:26" ht="16" x14ac:dyDescent="0.2">
      <c r="S2261" s="23">
        <v>45418</v>
      </c>
      <c r="T2261" s="22">
        <v>24.5</v>
      </c>
      <c r="U2261" s="22">
        <v>24.889999400000001</v>
      </c>
      <c r="V2261" s="22">
        <v>24.469999300000001</v>
      </c>
      <c r="W2261" s="22">
        <v>24.7399998</v>
      </c>
      <c r="X2261" s="22">
        <v>24.026716199999999</v>
      </c>
      <c r="Y2261" s="22">
        <v>597300</v>
      </c>
      <c r="Z2261" s="22">
        <v>1.2689290000000001E-2</v>
      </c>
    </row>
    <row r="2262" spans="19:26" ht="16" x14ac:dyDescent="0.2">
      <c r="S2262" s="23">
        <v>45419</v>
      </c>
      <c r="T2262" s="22">
        <v>24.9300003</v>
      </c>
      <c r="U2262" s="22">
        <v>25.25</v>
      </c>
      <c r="V2262" s="22">
        <v>24.719999300000001</v>
      </c>
      <c r="W2262" s="22">
        <v>24.790000899999999</v>
      </c>
      <c r="X2262" s="22">
        <v>24.0752773</v>
      </c>
      <c r="Y2262" s="22">
        <v>774300</v>
      </c>
      <c r="Z2262" s="22">
        <v>2.0211299999999999E-3</v>
      </c>
    </row>
    <row r="2263" spans="19:26" ht="16" x14ac:dyDescent="0.2">
      <c r="S2263" s="23">
        <v>45420</v>
      </c>
      <c r="T2263" s="22">
        <v>24.590000199999999</v>
      </c>
      <c r="U2263" s="22">
        <v>25.229999500000002</v>
      </c>
      <c r="V2263" s="22">
        <v>24.459999100000001</v>
      </c>
      <c r="W2263" s="22">
        <v>24.899999600000001</v>
      </c>
      <c r="X2263" s="22">
        <v>24.1821041</v>
      </c>
      <c r="Y2263" s="22">
        <v>1046000</v>
      </c>
      <c r="Z2263" s="22">
        <v>4.4371999999999997E-3</v>
      </c>
    </row>
    <row r="2264" spans="19:26" ht="16" x14ac:dyDescent="0.2">
      <c r="S2264" s="23">
        <v>45421</v>
      </c>
      <c r="T2264" s="22">
        <v>25.4400005</v>
      </c>
      <c r="U2264" s="22">
        <v>26.549999199999998</v>
      </c>
      <c r="V2264" s="22">
        <v>25.100000399999999</v>
      </c>
      <c r="W2264" s="22">
        <v>26.4899998</v>
      </c>
      <c r="X2264" s="22">
        <v>25.726262999999999</v>
      </c>
      <c r="Y2264" s="22">
        <v>1374900</v>
      </c>
      <c r="Z2264" s="22">
        <v>6.3855439999999999E-2</v>
      </c>
    </row>
    <row r="2265" spans="19:26" ht="16" x14ac:dyDescent="0.2">
      <c r="S2265" s="23">
        <v>45422</v>
      </c>
      <c r="T2265" s="22">
        <v>26.700000800000002</v>
      </c>
      <c r="U2265" s="22">
        <v>27.1900005</v>
      </c>
      <c r="V2265" s="22">
        <v>26.600000399999999</v>
      </c>
      <c r="W2265" s="22">
        <v>27.0599995</v>
      </c>
      <c r="X2265" s="22">
        <v>26.279828999999999</v>
      </c>
      <c r="Y2265" s="22">
        <v>1347000</v>
      </c>
      <c r="Z2265" s="22">
        <v>2.1517540000000002E-2</v>
      </c>
    </row>
    <row r="2266" spans="19:26" ht="16" x14ac:dyDescent="0.2">
      <c r="S2266" s="23">
        <v>45425</v>
      </c>
      <c r="T2266" s="22">
        <v>27.139999400000001</v>
      </c>
      <c r="U2266" s="22">
        <v>27.229999500000002</v>
      </c>
      <c r="V2266" s="22">
        <v>26.8799992</v>
      </c>
      <c r="W2266" s="22">
        <v>26.889999400000001</v>
      </c>
      <c r="X2266" s="22">
        <v>26.114728899999999</v>
      </c>
      <c r="Y2266" s="22">
        <v>1110700</v>
      </c>
      <c r="Z2266" s="22">
        <v>-6.2823999999999996E-3</v>
      </c>
    </row>
    <row r="2267" spans="19:26" ht="16" x14ac:dyDescent="0.2">
      <c r="S2267" s="23">
        <v>45426</v>
      </c>
      <c r="T2267" s="22">
        <v>27.209999100000001</v>
      </c>
      <c r="U2267" s="22">
        <v>27.75</v>
      </c>
      <c r="V2267" s="22">
        <v>27.209999100000001</v>
      </c>
      <c r="W2267" s="22">
        <v>27.469999300000001</v>
      </c>
      <c r="X2267" s="22">
        <v>26.678007099999999</v>
      </c>
      <c r="Y2267" s="22">
        <v>1011000</v>
      </c>
      <c r="Z2267" s="22">
        <v>2.1569370000000001E-2</v>
      </c>
    </row>
    <row r="2268" spans="19:26" ht="16" x14ac:dyDescent="0.2">
      <c r="S2268" s="23">
        <v>45427</v>
      </c>
      <c r="T2268" s="22">
        <v>28</v>
      </c>
      <c r="U2268" s="22">
        <v>28</v>
      </c>
      <c r="V2268" s="22">
        <v>27.3199997</v>
      </c>
      <c r="W2268" s="22">
        <v>27.479999500000002</v>
      </c>
      <c r="X2268" s="22">
        <v>26.687719300000001</v>
      </c>
      <c r="Y2268" s="22">
        <v>792600</v>
      </c>
      <c r="Z2268" s="22">
        <v>3.6404999999999999E-4</v>
      </c>
    </row>
    <row r="2269" spans="19:26" ht="16" x14ac:dyDescent="0.2">
      <c r="S2269" s="23">
        <v>45428</v>
      </c>
      <c r="T2269" s="22">
        <v>27.350000399999999</v>
      </c>
      <c r="U2269" s="22">
        <v>27.4899998</v>
      </c>
      <c r="V2269" s="22">
        <v>27.0100002</v>
      </c>
      <c r="W2269" s="22">
        <v>27.090000199999999</v>
      </c>
      <c r="X2269" s="22">
        <v>26.308963800000001</v>
      </c>
      <c r="Y2269" s="22">
        <v>882300</v>
      </c>
      <c r="Z2269" s="22">
        <v>-1.4192099999999999E-2</v>
      </c>
    </row>
    <row r="2270" spans="19:26" ht="16" x14ac:dyDescent="0.2">
      <c r="S2270" s="23">
        <v>45429</v>
      </c>
      <c r="T2270" s="22">
        <v>27.0100002</v>
      </c>
      <c r="U2270" s="22">
        <v>27.1299992</v>
      </c>
      <c r="V2270" s="22">
        <v>26.670000099999999</v>
      </c>
      <c r="W2270" s="22">
        <v>26.790000899999999</v>
      </c>
      <c r="X2270" s="22">
        <v>26.017612499999998</v>
      </c>
      <c r="Y2270" s="22">
        <v>708500</v>
      </c>
      <c r="Z2270" s="22">
        <v>-1.1074199999999999E-2</v>
      </c>
    </row>
    <row r="2271" spans="19:26" ht="16" x14ac:dyDescent="0.2">
      <c r="S2271" s="23">
        <v>45432</v>
      </c>
      <c r="T2271" s="22">
        <v>26.6800003</v>
      </c>
      <c r="U2271" s="22">
        <v>26.8199997</v>
      </c>
      <c r="V2271" s="22">
        <v>26.3700008</v>
      </c>
      <c r="W2271" s="22">
        <v>26.75</v>
      </c>
      <c r="X2271" s="22">
        <v>25.978767399999999</v>
      </c>
      <c r="Y2271" s="22">
        <v>626400</v>
      </c>
      <c r="Z2271" s="22">
        <v>-1.493E-3</v>
      </c>
    </row>
    <row r="2272" spans="19:26" ht="16" x14ac:dyDescent="0.2">
      <c r="S2272" s="23">
        <v>45433</v>
      </c>
      <c r="T2272" s="22">
        <v>26.719999300000001</v>
      </c>
      <c r="U2272" s="22">
        <v>26.950000800000002</v>
      </c>
      <c r="V2272" s="22">
        <v>26.610000599999999</v>
      </c>
      <c r="W2272" s="22">
        <v>26.9300003</v>
      </c>
      <c r="X2272" s="22">
        <v>26.153577800000001</v>
      </c>
      <c r="Y2272" s="22">
        <v>595400</v>
      </c>
      <c r="Z2272" s="22">
        <v>6.7289699999999999E-3</v>
      </c>
    </row>
    <row r="2273" spans="19:26" ht="16" x14ac:dyDescent="0.2">
      <c r="S2273" s="23">
        <v>45434</v>
      </c>
      <c r="T2273" s="22">
        <v>26.719999300000001</v>
      </c>
      <c r="U2273" s="22">
        <v>27.1900005</v>
      </c>
      <c r="V2273" s="22">
        <v>26.6299992</v>
      </c>
      <c r="W2273" s="22">
        <v>27.020000499999998</v>
      </c>
      <c r="X2273" s="22">
        <v>26.2409821</v>
      </c>
      <c r="Y2273" s="22">
        <v>493600</v>
      </c>
      <c r="Z2273" s="22">
        <v>3.3419600000000002E-3</v>
      </c>
    </row>
    <row r="2274" spans="19:26" ht="16" x14ac:dyDescent="0.2">
      <c r="S2274" s="23">
        <v>45435</v>
      </c>
      <c r="T2274" s="22">
        <v>26.899999600000001</v>
      </c>
      <c r="U2274" s="22">
        <v>26.899999600000001</v>
      </c>
      <c r="V2274" s="22">
        <v>26.0100002</v>
      </c>
      <c r="W2274" s="22">
        <v>26.270000499999998</v>
      </c>
      <c r="X2274" s="22">
        <v>25.512607599999999</v>
      </c>
      <c r="Y2274" s="22">
        <v>651900</v>
      </c>
      <c r="Z2274" s="22">
        <v>-2.77571E-2</v>
      </c>
    </row>
    <row r="2275" spans="19:26" ht="16" x14ac:dyDescent="0.2">
      <c r="S2275" s="23">
        <v>45436</v>
      </c>
      <c r="T2275" s="22">
        <v>26.479999500000002</v>
      </c>
      <c r="U2275" s="22">
        <v>26.860000599999999</v>
      </c>
      <c r="V2275" s="22">
        <v>26.299999199999998</v>
      </c>
      <c r="W2275" s="22">
        <v>26.850000399999999</v>
      </c>
      <c r="X2275" s="22">
        <v>26.075883900000001</v>
      </c>
      <c r="Y2275" s="22">
        <v>499900</v>
      </c>
      <c r="Z2275" s="22">
        <v>2.207835E-2</v>
      </c>
    </row>
    <row r="2276" spans="19:26" ht="16" x14ac:dyDescent="0.2">
      <c r="S2276" s="23">
        <v>45440</v>
      </c>
      <c r="T2276" s="22">
        <v>26.969999300000001</v>
      </c>
      <c r="U2276" s="22">
        <v>27.649999600000001</v>
      </c>
      <c r="V2276" s="22">
        <v>26.8700008</v>
      </c>
      <c r="W2276" s="22">
        <v>27.159999800000001</v>
      </c>
      <c r="X2276" s="22">
        <v>26.376945500000001</v>
      </c>
      <c r="Y2276" s="22">
        <v>1462000</v>
      </c>
      <c r="Z2276" s="22">
        <v>1.15456E-2</v>
      </c>
    </row>
    <row r="2277" spans="19:26" ht="16" x14ac:dyDescent="0.2">
      <c r="S2277" s="23">
        <v>45441</v>
      </c>
      <c r="T2277" s="22">
        <v>26.780000699999999</v>
      </c>
      <c r="U2277" s="22">
        <v>26.969999300000001</v>
      </c>
      <c r="V2277" s="22">
        <v>26.2600002</v>
      </c>
      <c r="W2277" s="22">
        <v>26.3700008</v>
      </c>
      <c r="X2277" s="22">
        <v>25.609724</v>
      </c>
      <c r="Y2277" s="22">
        <v>737100</v>
      </c>
      <c r="Z2277" s="22">
        <v>-2.9086799999999999E-2</v>
      </c>
    </row>
    <row r="2278" spans="19:26" ht="16" x14ac:dyDescent="0.2">
      <c r="S2278" s="23">
        <v>45442</v>
      </c>
      <c r="T2278" s="22">
        <v>26.579999900000001</v>
      </c>
      <c r="U2278" s="22">
        <v>27.3799992</v>
      </c>
      <c r="V2278" s="22">
        <v>26.5</v>
      </c>
      <c r="W2278" s="22">
        <v>27.25</v>
      </c>
      <c r="X2278" s="22">
        <v>26.464351700000002</v>
      </c>
      <c r="Y2278" s="22">
        <v>573900</v>
      </c>
      <c r="Z2278" s="22">
        <v>3.337122E-2</v>
      </c>
    </row>
    <row r="2279" spans="19:26" ht="16" x14ac:dyDescent="0.2">
      <c r="S2279" s="23">
        <v>45443</v>
      </c>
      <c r="T2279" s="22">
        <v>27.450000800000002</v>
      </c>
      <c r="U2279" s="22">
        <v>28.0699997</v>
      </c>
      <c r="V2279" s="22">
        <v>27.3799992</v>
      </c>
      <c r="W2279" s="22">
        <v>28</v>
      </c>
      <c r="X2279" s="22">
        <v>27.192726100000002</v>
      </c>
      <c r="Y2279" s="22">
        <v>1255200</v>
      </c>
      <c r="Z2279" s="22">
        <v>2.7522850000000001E-2</v>
      </c>
    </row>
    <row r="2280" spans="19:26" ht="16" x14ac:dyDescent="0.2">
      <c r="S2280" s="23">
        <v>45446</v>
      </c>
      <c r="T2280" s="22">
        <v>27.729999500000002</v>
      </c>
      <c r="U2280" s="22">
        <v>28.0599995</v>
      </c>
      <c r="V2280" s="22">
        <v>27.5699997</v>
      </c>
      <c r="W2280" s="22">
        <v>27.579999900000001</v>
      </c>
      <c r="X2280" s="22">
        <v>27.182870900000001</v>
      </c>
      <c r="Y2280" s="22">
        <v>1634100</v>
      </c>
      <c r="Z2280" s="22">
        <v>-3.6240000000000003E-4</v>
      </c>
    </row>
    <row r="2281" spans="19:26" ht="16" x14ac:dyDescent="0.2">
      <c r="S2281" s="23">
        <v>45447</v>
      </c>
      <c r="T2281" s="22">
        <v>27.399999600000001</v>
      </c>
      <c r="U2281" s="22">
        <v>27.8799992</v>
      </c>
      <c r="V2281" s="22">
        <v>27.159999800000001</v>
      </c>
      <c r="W2281" s="22">
        <v>27.770000499999998</v>
      </c>
      <c r="X2281" s="22">
        <v>27.370136299999999</v>
      </c>
      <c r="Y2281" s="22">
        <v>745800</v>
      </c>
      <c r="Z2281" s="22">
        <v>6.8891000000000004E-3</v>
      </c>
    </row>
    <row r="2282" spans="19:26" ht="16" x14ac:dyDescent="0.2">
      <c r="S2282" s="23">
        <v>45448</v>
      </c>
      <c r="T2282" s="22">
        <v>27.9300003</v>
      </c>
      <c r="U2282" s="22">
        <v>28.709999100000001</v>
      </c>
      <c r="V2282" s="22">
        <v>27.700000800000002</v>
      </c>
      <c r="W2282" s="22">
        <v>28.649999600000001</v>
      </c>
      <c r="X2282" s="22">
        <v>28.237463000000002</v>
      </c>
      <c r="Y2282" s="22">
        <v>1494500</v>
      </c>
      <c r="Z2282" s="22">
        <v>3.1688800000000003E-2</v>
      </c>
    </row>
    <row r="2283" spans="19:26" ht="16" x14ac:dyDescent="0.2">
      <c r="S2283" s="23">
        <v>45449</v>
      </c>
      <c r="T2283" s="22">
        <v>28.420000099999999</v>
      </c>
      <c r="U2283" s="22">
        <v>28.5599995</v>
      </c>
      <c r="V2283" s="22">
        <v>27.549999199999998</v>
      </c>
      <c r="W2283" s="22">
        <v>27.729999500000002</v>
      </c>
      <c r="X2283" s="22">
        <v>27.330711399999998</v>
      </c>
      <c r="Y2283" s="22">
        <v>710200</v>
      </c>
      <c r="Z2283" s="22">
        <v>-3.21117E-2</v>
      </c>
    </row>
    <row r="2284" spans="19:26" ht="16" x14ac:dyDescent="0.2">
      <c r="S2284" s="23">
        <v>45450</v>
      </c>
      <c r="T2284" s="22">
        <v>27.1200008</v>
      </c>
      <c r="U2284" s="22">
        <v>27.530000699999999</v>
      </c>
      <c r="V2284" s="22">
        <v>26.850000399999999</v>
      </c>
      <c r="W2284" s="22">
        <v>26.9400005</v>
      </c>
      <c r="X2284" s="22">
        <v>26.552087799999999</v>
      </c>
      <c r="Y2284" s="22">
        <v>664600</v>
      </c>
      <c r="Z2284" s="22">
        <v>-2.8489E-2</v>
      </c>
    </row>
    <row r="2285" spans="19:26" ht="16" x14ac:dyDescent="0.2">
      <c r="S2285" s="23">
        <v>45453</v>
      </c>
      <c r="T2285" s="22">
        <v>26.6200008</v>
      </c>
      <c r="U2285" s="22">
        <v>27.450000800000002</v>
      </c>
      <c r="V2285" s="22">
        <v>26.3799992</v>
      </c>
      <c r="W2285" s="22">
        <v>27.329999900000001</v>
      </c>
      <c r="X2285" s="22">
        <v>26.93647</v>
      </c>
      <c r="Y2285" s="22">
        <v>686300</v>
      </c>
      <c r="Z2285" s="22">
        <v>1.447654E-2</v>
      </c>
    </row>
    <row r="2286" spans="19:26" ht="16" x14ac:dyDescent="0.2">
      <c r="S2286" s="23">
        <v>45454</v>
      </c>
      <c r="T2286" s="22">
        <v>27.170000099999999</v>
      </c>
      <c r="U2286" s="22">
        <v>27.459999100000001</v>
      </c>
      <c r="V2286" s="22">
        <v>27.100000399999999</v>
      </c>
      <c r="W2286" s="22">
        <v>27.329999900000001</v>
      </c>
      <c r="X2286" s="22">
        <v>26.93647</v>
      </c>
      <c r="Y2286" s="22">
        <v>990800</v>
      </c>
      <c r="Z2286" s="22">
        <v>0</v>
      </c>
    </row>
    <row r="2287" spans="19:26" ht="16" x14ac:dyDescent="0.2">
      <c r="S2287" s="23">
        <v>45455</v>
      </c>
      <c r="T2287" s="22">
        <v>28</v>
      </c>
      <c r="U2287" s="22">
        <v>28</v>
      </c>
      <c r="V2287" s="22">
        <v>26.969999300000001</v>
      </c>
      <c r="W2287" s="22">
        <v>27.0100002</v>
      </c>
      <c r="X2287" s="22">
        <v>26.621078499999999</v>
      </c>
      <c r="Y2287" s="22">
        <v>675900</v>
      </c>
      <c r="Z2287" s="22">
        <v>-1.1708700000000001E-2</v>
      </c>
    </row>
    <row r="2288" spans="19:26" ht="16" x14ac:dyDescent="0.2">
      <c r="S2288" s="23">
        <v>45456</v>
      </c>
      <c r="T2288" s="22">
        <v>26.9300003</v>
      </c>
      <c r="U2288" s="22">
        <v>27.170000099999999</v>
      </c>
      <c r="V2288" s="22">
        <v>26.4300003</v>
      </c>
      <c r="W2288" s="22">
        <v>26.700000800000002</v>
      </c>
      <c r="X2288" s="22">
        <v>26.315542199999999</v>
      </c>
      <c r="Y2288" s="22">
        <v>526000</v>
      </c>
      <c r="Z2288" s="22">
        <v>-1.14772E-2</v>
      </c>
    </row>
    <row r="2289" spans="19:26" ht="16" x14ac:dyDescent="0.2">
      <c r="S2289" s="23">
        <v>45457</v>
      </c>
      <c r="T2289" s="22">
        <v>26.5599995</v>
      </c>
      <c r="U2289" s="22">
        <v>26.889999400000001</v>
      </c>
      <c r="V2289" s="22">
        <v>26.420000099999999</v>
      </c>
      <c r="W2289" s="22">
        <v>26.600000399999999</v>
      </c>
      <c r="X2289" s="22">
        <v>26.2169819</v>
      </c>
      <c r="Y2289" s="22">
        <v>646500</v>
      </c>
      <c r="Z2289" s="22">
        <v>-3.7453E-3</v>
      </c>
    </row>
    <row r="2290" spans="19:26" ht="16" x14ac:dyDescent="0.2">
      <c r="S2290" s="23">
        <v>45460</v>
      </c>
      <c r="T2290" s="22">
        <v>26.3799992</v>
      </c>
      <c r="U2290" s="22">
        <v>26.520000499999998</v>
      </c>
      <c r="V2290" s="22">
        <v>25.909999800000001</v>
      </c>
      <c r="W2290" s="22">
        <v>25.9899998</v>
      </c>
      <c r="X2290" s="22">
        <v>25.615764599999999</v>
      </c>
      <c r="Y2290" s="22">
        <v>505900</v>
      </c>
      <c r="Z2290" s="22">
        <v>-2.2932399999999999E-2</v>
      </c>
    </row>
    <row r="2291" spans="19:26" ht="16" x14ac:dyDescent="0.2">
      <c r="S2291" s="23">
        <v>45461</v>
      </c>
      <c r="T2291" s="22">
        <v>25.850000399999999</v>
      </c>
      <c r="U2291" s="22">
        <v>26.2600002</v>
      </c>
      <c r="V2291" s="22">
        <v>25.670000099999999</v>
      </c>
      <c r="W2291" s="22">
        <v>25.9400005</v>
      </c>
      <c r="X2291" s="22">
        <v>25.566486399999999</v>
      </c>
      <c r="Y2291" s="22">
        <v>606900</v>
      </c>
      <c r="Z2291" s="22">
        <v>-1.9237E-3</v>
      </c>
    </row>
    <row r="2292" spans="19:26" ht="16" x14ac:dyDescent="0.2">
      <c r="S2292" s="23">
        <v>45463</v>
      </c>
      <c r="T2292" s="22">
        <v>25.909999800000001</v>
      </c>
      <c r="U2292" s="22">
        <v>26.170000099999999</v>
      </c>
      <c r="V2292" s="22">
        <v>25.8199997</v>
      </c>
      <c r="W2292" s="22">
        <v>25.979999500000002</v>
      </c>
      <c r="X2292" s="22">
        <v>25.6059093</v>
      </c>
      <c r="Y2292" s="22">
        <v>581400</v>
      </c>
      <c r="Z2292" s="22">
        <v>1.5419800000000001E-3</v>
      </c>
    </row>
    <row r="2293" spans="19:26" ht="16" x14ac:dyDescent="0.2">
      <c r="S2293" s="23">
        <v>45464</v>
      </c>
      <c r="T2293" s="22">
        <v>26.049999199999998</v>
      </c>
      <c r="U2293" s="22">
        <v>26.079999900000001</v>
      </c>
      <c r="V2293" s="22">
        <v>25.700000800000002</v>
      </c>
      <c r="W2293" s="22">
        <v>25.8700008</v>
      </c>
      <c r="X2293" s="22">
        <v>25.4974937</v>
      </c>
      <c r="Y2293" s="22">
        <v>1649400</v>
      </c>
      <c r="Z2293" s="22">
        <v>-4.2339999999999999E-3</v>
      </c>
    </row>
    <row r="2294" spans="19:26" ht="16" x14ac:dyDescent="0.2">
      <c r="S2294" s="23">
        <v>45467</v>
      </c>
      <c r="T2294" s="22">
        <v>25.950000800000002</v>
      </c>
      <c r="U2294" s="22">
        <v>26.170000099999999</v>
      </c>
      <c r="V2294" s="22">
        <v>25.829999900000001</v>
      </c>
      <c r="W2294" s="22">
        <v>26.0599995</v>
      </c>
      <c r="X2294" s="22">
        <v>25.6847572</v>
      </c>
      <c r="Y2294" s="22">
        <v>624500</v>
      </c>
      <c r="Z2294" s="22">
        <v>7.3443900000000001E-3</v>
      </c>
    </row>
    <row r="2295" spans="19:26" ht="16" x14ac:dyDescent="0.2">
      <c r="S2295" s="23">
        <v>45468</v>
      </c>
      <c r="T2295" s="22">
        <v>26.100000399999999</v>
      </c>
      <c r="U2295" s="22">
        <v>26.100000399999999</v>
      </c>
      <c r="V2295" s="22">
        <v>25.6800003</v>
      </c>
      <c r="W2295" s="22">
        <v>25.7600002</v>
      </c>
      <c r="X2295" s="22">
        <v>25.389078099999999</v>
      </c>
      <c r="Y2295" s="22">
        <v>553800</v>
      </c>
      <c r="Z2295" s="22">
        <v>-1.15119E-2</v>
      </c>
    </row>
    <row r="2296" spans="19:26" ht="16" x14ac:dyDescent="0.2">
      <c r="S2296" s="23">
        <v>45469</v>
      </c>
      <c r="T2296" s="22">
        <v>25.6200008</v>
      </c>
      <c r="U2296" s="22">
        <v>25.7399998</v>
      </c>
      <c r="V2296" s="22">
        <v>25.479999500000002</v>
      </c>
      <c r="W2296" s="22">
        <v>25.5699997</v>
      </c>
      <c r="X2296" s="22">
        <v>25.201812700000001</v>
      </c>
      <c r="Y2296" s="22">
        <v>360900</v>
      </c>
      <c r="Z2296" s="22">
        <v>-7.3758000000000001E-3</v>
      </c>
    </row>
    <row r="2297" spans="19:26" ht="16" x14ac:dyDescent="0.2">
      <c r="S2297" s="23">
        <v>45470</v>
      </c>
      <c r="T2297" s="22">
        <v>25.5</v>
      </c>
      <c r="U2297" s="22">
        <v>26.020000499999998</v>
      </c>
      <c r="V2297" s="22">
        <v>25.409999800000001</v>
      </c>
      <c r="W2297" s="22">
        <v>26.0100002</v>
      </c>
      <c r="X2297" s="22">
        <v>25.635477099999999</v>
      </c>
      <c r="Y2297" s="22">
        <v>723500</v>
      </c>
      <c r="Z2297" s="22">
        <v>1.720766E-2</v>
      </c>
    </row>
    <row r="2298" spans="19:26" ht="16" x14ac:dyDescent="0.2">
      <c r="S2298" s="23">
        <v>45471</v>
      </c>
      <c r="T2298" s="22">
        <v>26.0699997</v>
      </c>
      <c r="U2298" s="22">
        <v>26.200000800000002</v>
      </c>
      <c r="V2298" s="22">
        <v>24.530000699999999</v>
      </c>
      <c r="W2298" s="22">
        <v>24.6900005</v>
      </c>
      <c r="X2298" s="22">
        <v>24.334484100000001</v>
      </c>
      <c r="Y2298" s="22">
        <v>1686600</v>
      </c>
      <c r="Z2298" s="22">
        <v>-5.0749700000000002E-2</v>
      </c>
    </row>
    <row r="2299" spans="19:26" ht="16" x14ac:dyDescent="0.2">
      <c r="S2299" s="23">
        <v>45474</v>
      </c>
      <c r="T2299" s="22">
        <v>24.950000800000002</v>
      </c>
      <c r="U2299" s="22">
        <v>24.950000800000002</v>
      </c>
      <c r="V2299" s="22">
        <v>24.149999600000001</v>
      </c>
      <c r="W2299" s="22">
        <v>24.299999199999998</v>
      </c>
      <c r="X2299" s="22">
        <v>23.950099900000001</v>
      </c>
      <c r="Y2299" s="22">
        <v>1068200</v>
      </c>
      <c r="Z2299" s="22">
        <v>-1.5795900000000002E-2</v>
      </c>
    </row>
    <row r="2300" spans="19:26" ht="16" x14ac:dyDescent="0.2">
      <c r="S2300" s="23">
        <v>45475</v>
      </c>
      <c r="T2300" s="22">
        <v>24.3099995</v>
      </c>
      <c r="U2300" s="22">
        <v>24.540000899999999</v>
      </c>
      <c r="V2300" s="22">
        <v>24.020000499999998</v>
      </c>
      <c r="W2300" s="22">
        <v>24.110000599999999</v>
      </c>
      <c r="X2300" s="22">
        <v>23.762836499999999</v>
      </c>
      <c r="Y2300" s="22">
        <v>1327100</v>
      </c>
      <c r="Z2300" s="22">
        <v>-7.8189000000000002E-3</v>
      </c>
    </row>
    <row r="2301" spans="19:26" ht="16" x14ac:dyDescent="0.2">
      <c r="S2301" s="23">
        <v>45476</v>
      </c>
      <c r="T2301" s="22">
        <v>24.290000899999999</v>
      </c>
      <c r="U2301" s="22">
        <v>24.8099995</v>
      </c>
      <c r="V2301" s="22">
        <v>24.1800003</v>
      </c>
      <c r="W2301" s="22">
        <v>24.3700008</v>
      </c>
      <c r="X2301" s="22">
        <v>24.0190926</v>
      </c>
      <c r="Y2301" s="22">
        <v>732900</v>
      </c>
      <c r="Z2301" s="22">
        <v>1.0783900000000001E-2</v>
      </c>
    </row>
    <row r="2302" spans="19:26" ht="16" x14ac:dyDescent="0.2">
      <c r="S2302" s="23">
        <v>45478</v>
      </c>
      <c r="T2302" s="22">
        <v>24.3700008</v>
      </c>
      <c r="U2302" s="22">
        <v>24.709999100000001</v>
      </c>
      <c r="V2302" s="22">
        <v>24.3199997</v>
      </c>
      <c r="W2302" s="22">
        <v>24.590000199999999</v>
      </c>
      <c r="X2302" s="22">
        <v>24.235923799999998</v>
      </c>
      <c r="Y2302" s="22">
        <v>1112700</v>
      </c>
      <c r="Z2302" s="22">
        <v>9.0274499999999994E-3</v>
      </c>
    </row>
    <row r="2303" spans="19:26" ht="16" x14ac:dyDescent="0.2">
      <c r="S2303" s="23">
        <v>45481</v>
      </c>
      <c r="T2303" s="22">
        <v>24.8799992</v>
      </c>
      <c r="U2303" s="22">
        <v>24.8799992</v>
      </c>
      <c r="V2303" s="22">
        <v>24.450000800000002</v>
      </c>
      <c r="W2303" s="22">
        <v>24.479999500000002</v>
      </c>
      <c r="X2303" s="22">
        <v>24.127508200000001</v>
      </c>
      <c r="Y2303" s="22">
        <v>503000</v>
      </c>
      <c r="Z2303" s="22">
        <v>-4.4733000000000004E-3</v>
      </c>
    </row>
    <row r="2304" spans="19:26" ht="16" x14ac:dyDescent="0.2">
      <c r="S2304" s="23">
        <v>45482</v>
      </c>
      <c r="T2304" s="22">
        <v>24.399999600000001</v>
      </c>
      <c r="U2304" s="22">
        <v>24.600000399999999</v>
      </c>
      <c r="V2304" s="22">
        <v>24.219999300000001</v>
      </c>
      <c r="W2304" s="22">
        <v>24.340000199999999</v>
      </c>
      <c r="X2304" s="22">
        <v>23.989524800000002</v>
      </c>
      <c r="Y2304" s="22">
        <v>602600</v>
      </c>
      <c r="Z2304" s="22">
        <v>-5.7188999999999999E-3</v>
      </c>
    </row>
    <row r="2305" spans="19:26" ht="16" x14ac:dyDescent="0.2">
      <c r="S2305" s="23">
        <v>45483</v>
      </c>
      <c r="T2305" s="22">
        <v>24.340000199999999</v>
      </c>
      <c r="U2305" s="22">
        <v>24.649999600000001</v>
      </c>
      <c r="V2305" s="22">
        <v>24.329999900000001</v>
      </c>
      <c r="W2305" s="22">
        <v>24.610000599999999</v>
      </c>
      <c r="X2305" s="22">
        <v>24.255636200000001</v>
      </c>
      <c r="Y2305" s="22">
        <v>500100</v>
      </c>
      <c r="Z2305" s="22">
        <v>1.109282E-2</v>
      </c>
    </row>
    <row r="2306" spans="19:26" ht="16" x14ac:dyDescent="0.2">
      <c r="S2306" s="23">
        <v>45484</v>
      </c>
      <c r="T2306" s="22">
        <v>25.100000399999999</v>
      </c>
      <c r="U2306" s="22">
        <v>25.729999500000002</v>
      </c>
      <c r="V2306" s="22">
        <v>24.979999500000002</v>
      </c>
      <c r="W2306" s="22">
        <v>25.530000699999999</v>
      </c>
      <c r="X2306" s="22">
        <v>25.1623898</v>
      </c>
      <c r="Y2306" s="22">
        <v>528700</v>
      </c>
      <c r="Z2306" s="22">
        <v>3.738321E-2</v>
      </c>
    </row>
    <row r="2307" spans="19:26" ht="16" x14ac:dyDescent="0.2">
      <c r="S2307" s="23">
        <v>45485</v>
      </c>
      <c r="T2307" s="22">
        <v>25.610000599999999</v>
      </c>
      <c r="U2307" s="22">
        <v>26.2399998</v>
      </c>
      <c r="V2307" s="22">
        <v>25.610000599999999</v>
      </c>
      <c r="W2307" s="22">
        <v>26.170000099999999</v>
      </c>
      <c r="X2307" s="22">
        <v>25.793172800000001</v>
      </c>
      <c r="Y2307" s="22">
        <v>625200</v>
      </c>
      <c r="Z2307" s="22">
        <v>2.5068489999999999E-2</v>
      </c>
    </row>
    <row r="2308" spans="19:26" ht="16" x14ac:dyDescent="0.2">
      <c r="S2308" s="23">
        <v>45488</v>
      </c>
      <c r="T2308" s="22">
        <v>25.6299992</v>
      </c>
      <c r="U2308" s="22">
        <v>25.709999100000001</v>
      </c>
      <c r="V2308" s="22">
        <v>24.670000099999999</v>
      </c>
      <c r="W2308" s="22">
        <v>24.770000499999998</v>
      </c>
      <c r="X2308" s="22">
        <v>24.413333900000001</v>
      </c>
      <c r="Y2308" s="22">
        <v>956200</v>
      </c>
      <c r="Z2308" s="22">
        <v>-5.3496299999999997E-2</v>
      </c>
    </row>
    <row r="2309" spans="19:26" ht="16" x14ac:dyDescent="0.2">
      <c r="S2309" s="23">
        <v>45489</v>
      </c>
      <c r="T2309" s="22">
        <v>24.920000099999999</v>
      </c>
      <c r="U2309" s="22">
        <v>25.829999900000001</v>
      </c>
      <c r="V2309" s="22">
        <v>24.8700008</v>
      </c>
      <c r="W2309" s="22">
        <v>25.7600002</v>
      </c>
      <c r="X2309" s="22">
        <v>25.389078099999999</v>
      </c>
      <c r="Y2309" s="22">
        <v>934500</v>
      </c>
      <c r="Z2309" s="22">
        <v>3.9967679999999998E-2</v>
      </c>
    </row>
    <row r="2310" spans="19:26" ht="16" x14ac:dyDescent="0.2">
      <c r="S2310" s="23">
        <v>45490</v>
      </c>
      <c r="T2310" s="22">
        <v>25.659999800000001</v>
      </c>
      <c r="U2310" s="22">
        <v>26.329999900000001</v>
      </c>
      <c r="V2310" s="22">
        <v>25.340000199999999</v>
      </c>
      <c r="W2310" s="22">
        <v>25.340000199999999</v>
      </c>
      <c r="X2310" s="22">
        <v>24.975124399999999</v>
      </c>
      <c r="Y2310" s="22">
        <v>1084500</v>
      </c>
      <c r="Z2310" s="22">
        <v>-1.63044E-2</v>
      </c>
    </row>
    <row r="2311" spans="19:26" ht="16" x14ac:dyDescent="0.2">
      <c r="S2311" s="23">
        <v>45491</v>
      </c>
      <c r="T2311" s="22">
        <v>25.360000599999999</v>
      </c>
      <c r="U2311" s="22">
        <v>25.6900005</v>
      </c>
      <c r="V2311" s="22">
        <v>25.159999800000001</v>
      </c>
      <c r="W2311" s="22">
        <v>25.1800003</v>
      </c>
      <c r="X2311" s="22">
        <v>24.8174286</v>
      </c>
      <c r="Y2311" s="22">
        <v>905500</v>
      </c>
      <c r="Z2311" s="22">
        <v>-6.3140999999999996E-3</v>
      </c>
    </row>
    <row r="2312" spans="19:26" ht="16" x14ac:dyDescent="0.2">
      <c r="S2312" s="23">
        <v>45492</v>
      </c>
      <c r="T2312" s="22">
        <v>25.149999600000001</v>
      </c>
      <c r="U2312" s="22">
        <v>25.340000199999999</v>
      </c>
      <c r="V2312" s="22">
        <v>24.909999800000001</v>
      </c>
      <c r="W2312" s="22">
        <v>25.229999500000002</v>
      </c>
      <c r="X2312" s="22">
        <v>24.866708800000001</v>
      </c>
      <c r="Y2312" s="22">
        <v>1149000</v>
      </c>
      <c r="Z2312" s="22">
        <v>1.9857099999999999E-3</v>
      </c>
    </row>
    <row r="2313" spans="19:26" ht="16" x14ac:dyDescent="0.2">
      <c r="S2313" s="23">
        <v>45495</v>
      </c>
      <c r="T2313" s="22">
        <v>25.5</v>
      </c>
      <c r="U2313" s="22">
        <v>26.040000899999999</v>
      </c>
      <c r="V2313" s="22">
        <v>25.389999400000001</v>
      </c>
      <c r="W2313" s="22">
        <v>25.899999600000001</v>
      </c>
      <c r="X2313" s="22">
        <v>25.527061499999999</v>
      </c>
      <c r="Y2313" s="22">
        <v>588100</v>
      </c>
      <c r="Z2313" s="22">
        <v>2.655569E-2</v>
      </c>
    </row>
    <row r="2314" spans="19:26" ht="16" x14ac:dyDescent="0.2">
      <c r="S2314" s="23">
        <v>45496</v>
      </c>
      <c r="T2314" s="22">
        <v>25.7600002</v>
      </c>
      <c r="U2314" s="22">
        <v>25.840000199999999</v>
      </c>
      <c r="V2314" s="22">
        <v>25.5100002</v>
      </c>
      <c r="W2314" s="22">
        <v>25.579999900000001</v>
      </c>
      <c r="X2314" s="22">
        <v>25.2116699</v>
      </c>
      <c r="Y2314" s="22">
        <v>382800</v>
      </c>
      <c r="Z2314" s="22">
        <v>-1.23552E-2</v>
      </c>
    </row>
    <row r="2315" spans="19:26" ht="16" x14ac:dyDescent="0.2">
      <c r="S2315" s="23">
        <v>45497</v>
      </c>
      <c r="T2315" s="22">
        <v>25.8099995</v>
      </c>
      <c r="U2315" s="22">
        <v>26.329999900000001</v>
      </c>
      <c r="V2315" s="22">
        <v>25.659999800000001</v>
      </c>
      <c r="W2315" s="22">
        <v>26.149999600000001</v>
      </c>
      <c r="X2315" s="22">
        <v>25.773460400000001</v>
      </c>
      <c r="Y2315" s="22">
        <v>581200</v>
      </c>
      <c r="Z2315" s="22">
        <v>2.2282949999999999E-2</v>
      </c>
    </row>
    <row r="2316" spans="19:26" ht="16" x14ac:dyDescent="0.2">
      <c r="S2316" s="23">
        <v>45498</v>
      </c>
      <c r="T2316" s="22">
        <v>26.149999600000001</v>
      </c>
      <c r="U2316" s="22">
        <v>26.360000599999999</v>
      </c>
      <c r="V2316" s="22">
        <v>25.459999100000001</v>
      </c>
      <c r="W2316" s="22">
        <v>25.719999300000001</v>
      </c>
      <c r="X2316" s="22">
        <v>25.349653199999999</v>
      </c>
      <c r="Y2316" s="22">
        <v>679400</v>
      </c>
      <c r="Z2316" s="22">
        <v>-1.64435E-2</v>
      </c>
    </row>
    <row r="2317" spans="19:26" ht="16" x14ac:dyDescent="0.2">
      <c r="S2317" s="23">
        <v>45499</v>
      </c>
      <c r="T2317" s="22">
        <v>26.159999800000001</v>
      </c>
      <c r="U2317" s="22">
        <v>26.4400005</v>
      </c>
      <c r="V2317" s="22">
        <v>26.0599995</v>
      </c>
      <c r="W2317" s="22">
        <v>26.399999600000001</v>
      </c>
      <c r="X2317" s="22">
        <v>26.019861200000001</v>
      </c>
      <c r="Y2317" s="22">
        <v>592600</v>
      </c>
      <c r="Z2317" s="22">
        <v>2.6438550000000002E-2</v>
      </c>
    </row>
    <row r="2318" spans="19:26" ht="16" x14ac:dyDescent="0.2">
      <c r="S2318" s="23">
        <v>45502</v>
      </c>
      <c r="T2318" s="22">
        <v>26.530000699999999</v>
      </c>
      <c r="U2318" s="22">
        <v>26.530000699999999</v>
      </c>
      <c r="V2318" s="22">
        <v>25.920000099999999</v>
      </c>
      <c r="W2318" s="22">
        <v>26.3199997</v>
      </c>
      <c r="X2318" s="22">
        <v>25.941013300000002</v>
      </c>
      <c r="Y2318" s="22">
        <v>491500</v>
      </c>
      <c r="Z2318" s="22">
        <v>-3.0303000000000001E-3</v>
      </c>
    </row>
    <row r="2319" spans="19:26" ht="16" x14ac:dyDescent="0.2">
      <c r="S2319" s="23">
        <v>45503</v>
      </c>
      <c r="T2319" s="22">
        <v>26.389999400000001</v>
      </c>
      <c r="U2319" s="22">
        <v>26.4899998</v>
      </c>
      <c r="V2319" s="22">
        <v>25.950000800000002</v>
      </c>
      <c r="W2319" s="22">
        <v>26.329999900000001</v>
      </c>
      <c r="X2319" s="22">
        <v>25.950870500000001</v>
      </c>
      <c r="Y2319" s="22">
        <v>520500</v>
      </c>
      <c r="Z2319" s="22">
        <v>3.7997999999999998E-4</v>
      </c>
    </row>
    <row r="2320" spans="19:26" ht="16" x14ac:dyDescent="0.2">
      <c r="S2320" s="23">
        <v>45504</v>
      </c>
      <c r="T2320" s="22">
        <v>27.219999300000001</v>
      </c>
      <c r="U2320" s="22">
        <v>27.3700008</v>
      </c>
      <c r="V2320" s="22">
        <v>26.6299992</v>
      </c>
      <c r="W2320" s="22">
        <v>26.6800003</v>
      </c>
      <c r="X2320" s="22">
        <v>26.2958298</v>
      </c>
      <c r="Y2320" s="22">
        <v>1300700</v>
      </c>
      <c r="Z2320" s="22">
        <v>1.3292780000000001E-2</v>
      </c>
    </row>
    <row r="2321" spans="19:26" ht="16" x14ac:dyDescent="0.2">
      <c r="S2321" s="23">
        <v>45505</v>
      </c>
      <c r="T2321" s="22">
        <v>27</v>
      </c>
      <c r="U2321" s="22">
        <v>28.1200008</v>
      </c>
      <c r="V2321" s="22">
        <v>26.770000499999998</v>
      </c>
      <c r="W2321" s="22">
        <v>27.959999100000001</v>
      </c>
      <c r="X2321" s="22">
        <v>27.5573978</v>
      </c>
      <c r="Y2321" s="22">
        <v>1201200</v>
      </c>
      <c r="Z2321" s="22">
        <v>4.797597E-2</v>
      </c>
    </row>
    <row r="2322" spans="19:26" ht="16" x14ac:dyDescent="0.2">
      <c r="S2322" s="23">
        <v>45506</v>
      </c>
      <c r="T2322" s="22">
        <v>27.659999800000001</v>
      </c>
      <c r="U2322" s="22">
        <v>27.899999600000001</v>
      </c>
      <c r="V2322" s="22">
        <v>26.9300003</v>
      </c>
      <c r="W2322" s="22">
        <v>27.6800003</v>
      </c>
      <c r="X2322" s="22">
        <v>27.2814312</v>
      </c>
      <c r="Y2322" s="22">
        <v>916400</v>
      </c>
      <c r="Z2322" s="22">
        <v>-1.0014199999999999E-2</v>
      </c>
    </row>
    <row r="2323" spans="19:26" ht="16" x14ac:dyDescent="0.2">
      <c r="S2323" s="23">
        <v>45509</v>
      </c>
      <c r="T2323" s="22">
        <v>26.729999500000002</v>
      </c>
      <c r="U2323" s="22">
        <v>27.75</v>
      </c>
      <c r="V2323" s="22">
        <v>26.2600002</v>
      </c>
      <c r="W2323" s="22">
        <v>27.4300003</v>
      </c>
      <c r="X2323" s="22">
        <v>27.0350304</v>
      </c>
      <c r="Y2323" s="22">
        <v>882300</v>
      </c>
      <c r="Z2323" s="22">
        <v>-9.0317999999999996E-3</v>
      </c>
    </row>
    <row r="2324" spans="19:26" ht="16" x14ac:dyDescent="0.2">
      <c r="S2324" s="23">
        <v>45510</v>
      </c>
      <c r="T2324" s="22">
        <v>27.6299992</v>
      </c>
      <c r="U2324" s="22">
        <v>28.790000899999999</v>
      </c>
      <c r="V2324" s="22">
        <v>27.540000899999999</v>
      </c>
      <c r="W2324" s="22">
        <v>28.5599995</v>
      </c>
      <c r="X2324" s="22">
        <v>28.148759800000001</v>
      </c>
      <c r="Y2324" s="22">
        <v>1015000</v>
      </c>
      <c r="Z2324" s="22">
        <v>4.1195790000000003E-2</v>
      </c>
    </row>
    <row r="2325" spans="19:26" ht="16" x14ac:dyDescent="0.2">
      <c r="S2325" s="23">
        <v>45511</v>
      </c>
      <c r="T2325" s="22">
        <v>28.959999100000001</v>
      </c>
      <c r="U2325" s="22">
        <v>29.149999600000001</v>
      </c>
      <c r="V2325" s="22">
        <v>28.409999800000001</v>
      </c>
      <c r="W2325" s="22">
        <v>28.4400005</v>
      </c>
      <c r="X2325" s="22">
        <v>28.030488999999999</v>
      </c>
      <c r="Y2325" s="22">
        <v>828300</v>
      </c>
      <c r="Z2325" s="22">
        <v>-4.2015999999999998E-3</v>
      </c>
    </row>
    <row r="2326" spans="19:26" ht="16" x14ac:dyDescent="0.2">
      <c r="S2326" s="23">
        <v>45512</v>
      </c>
      <c r="T2326" s="22">
        <v>28.389999400000001</v>
      </c>
      <c r="U2326" s="22">
        <v>28.75</v>
      </c>
      <c r="V2326" s="22">
        <v>28.170000099999999</v>
      </c>
      <c r="W2326" s="22">
        <v>28.469999300000001</v>
      </c>
      <c r="X2326" s="22">
        <v>28.0600548</v>
      </c>
      <c r="Y2326" s="22">
        <v>1023600</v>
      </c>
      <c r="Z2326" s="22">
        <v>1.05477E-3</v>
      </c>
    </row>
    <row r="2327" spans="19:26" ht="16" x14ac:dyDescent="0.2">
      <c r="S2327" s="23">
        <v>45513</v>
      </c>
      <c r="T2327" s="22">
        <v>28.469999300000001</v>
      </c>
      <c r="U2327" s="22">
        <v>28.549999199999998</v>
      </c>
      <c r="V2327" s="22">
        <v>28.0100002</v>
      </c>
      <c r="W2327" s="22">
        <v>28.479999500000002</v>
      </c>
      <c r="X2327" s="22">
        <v>28.069911999999999</v>
      </c>
      <c r="Y2327" s="22">
        <v>699100</v>
      </c>
      <c r="Z2327" s="22">
        <v>3.5128999999999998E-4</v>
      </c>
    </row>
    <row r="2328" spans="19:26" ht="16" x14ac:dyDescent="0.2">
      <c r="S2328" s="23">
        <v>45516</v>
      </c>
      <c r="T2328" s="22">
        <v>28.3700008</v>
      </c>
      <c r="U2328" s="22">
        <v>28.4300003</v>
      </c>
      <c r="V2328" s="22">
        <v>27.6900005</v>
      </c>
      <c r="W2328" s="22">
        <v>28.149999600000001</v>
      </c>
      <c r="X2328" s="22">
        <v>27.744663200000002</v>
      </c>
      <c r="Y2328" s="22">
        <v>770600</v>
      </c>
      <c r="Z2328" s="22">
        <v>-1.1587099999999999E-2</v>
      </c>
    </row>
    <row r="2329" spans="19:26" ht="16" x14ac:dyDescent="0.2">
      <c r="S2329" s="23">
        <v>45517</v>
      </c>
      <c r="T2329" s="22">
        <v>28.409999800000001</v>
      </c>
      <c r="U2329" s="22">
        <v>28.889999400000001</v>
      </c>
      <c r="V2329" s="22">
        <v>28.200000800000002</v>
      </c>
      <c r="W2329" s="22">
        <v>28.700000800000002</v>
      </c>
      <c r="X2329" s="22">
        <v>28.286745100000001</v>
      </c>
      <c r="Y2329" s="22">
        <v>944500</v>
      </c>
      <c r="Z2329" s="22">
        <v>1.9538239999999998E-2</v>
      </c>
    </row>
    <row r="2330" spans="19:26" ht="16" x14ac:dyDescent="0.2">
      <c r="S2330" s="23">
        <v>45518</v>
      </c>
      <c r="T2330" s="22">
        <v>28.719999300000001</v>
      </c>
      <c r="U2330" s="22">
        <v>29.1299992</v>
      </c>
      <c r="V2330" s="22">
        <v>28.389999400000001</v>
      </c>
      <c r="W2330" s="22">
        <v>28.9899998</v>
      </c>
      <c r="X2330" s="22">
        <v>28.572566999999999</v>
      </c>
      <c r="Y2330" s="22">
        <v>815000</v>
      </c>
      <c r="Z2330" s="22">
        <v>1.0104449999999999E-2</v>
      </c>
    </row>
    <row r="2331" spans="19:26" ht="16" x14ac:dyDescent="0.2">
      <c r="S2331" s="23">
        <v>45519</v>
      </c>
      <c r="T2331" s="22">
        <v>28.959999100000001</v>
      </c>
      <c r="U2331" s="22">
        <v>29.200000800000002</v>
      </c>
      <c r="V2331" s="22">
        <v>28.590000199999999</v>
      </c>
      <c r="W2331" s="22">
        <v>28.9400005</v>
      </c>
      <c r="X2331" s="22">
        <v>28.523288699999998</v>
      </c>
      <c r="Y2331" s="22">
        <v>952100</v>
      </c>
      <c r="Z2331" s="22">
        <v>-1.7247E-3</v>
      </c>
    </row>
    <row r="2332" spans="19:26" ht="16" x14ac:dyDescent="0.2">
      <c r="S2332" s="23">
        <v>45520</v>
      </c>
      <c r="T2332" s="22">
        <v>28.9400005</v>
      </c>
      <c r="U2332" s="22">
        <v>29.079999900000001</v>
      </c>
      <c r="V2332" s="22">
        <v>28.729999500000002</v>
      </c>
      <c r="W2332" s="22">
        <v>28.9899998</v>
      </c>
      <c r="X2332" s="22">
        <v>28.572566999999999</v>
      </c>
      <c r="Y2332" s="22">
        <v>537200</v>
      </c>
      <c r="Z2332" s="22">
        <v>1.7276500000000001E-3</v>
      </c>
    </row>
    <row r="2333" spans="19:26" ht="16" x14ac:dyDescent="0.2">
      <c r="S2333" s="23">
        <v>45523</v>
      </c>
      <c r="T2333" s="22">
        <v>29</v>
      </c>
      <c r="U2333" s="22">
        <v>29.200000800000002</v>
      </c>
      <c r="V2333" s="22">
        <v>28.799999199999998</v>
      </c>
      <c r="W2333" s="22">
        <v>29.1800003</v>
      </c>
      <c r="X2333" s="22">
        <v>28.759832400000001</v>
      </c>
      <c r="Y2333" s="22">
        <v>747100</v>
      </c>
      <c r="Z2333" s="22">
        <v>6.5540299999999998E-3</v>
      </c>
    </row>
    <row r="2334" spans="19:26" ht="16" x14ac:dyDescent="0.2">
      <c r="S2334" s="23">
        <v>45524</v>
      </c>
      <c r="T2334" s="22">
        <v>29.030000699999999</v>
      </c>
      <c r="U2334" s="22">
        <v>29.200000800000002</v>
      </c>
      <c r="V2334" s="22">
        <v>28.729999500000002</v>
      </c>
      <c r="W2334" s="22">
        <v>28.7399998</v>
      </c>
      <c r="X2334" s="22">
        <v>28.3261681</v>
      </c>
      <c r="Y2334" s="22">
        <v>440000</v>
      </c>
      <c r="Z2334" s="22">
        <v>-1.50788E-2</v>
      </c>
    </row>
    <row r="2335" spans="19:26" ht="16" x14ac:dyDescent="0.2">
      <c r="S2335" s="23">
        <v>45525</v>
      </c>
      <c r="T2335" s="22">
        <v>28.829999900000001</v>
      </c>
      <c r="U2335" s="22">
        <v>29.100000399999999</v>
      </c>
      <c r="V2335" s="22">
        <v>28.709999100000001</v>
      </c>
      <c r="W2335" s="22">
        <v>28.969999300000001</v>
      </c>
      <c r="X2335" s="22">
        <v>28.552854499999999</v>
      </c>
      <c r="Y2335" s="22">
        <v>485300</v>
      </c>
      <c r="Z2335" s="22">
        <v>8.0027199999999996E-3</v>
      </c>
    </row>
    <row r="2336" spans="19:26" ht="16" x14ac:dyDescent="0.2">
      <c r="S2336" s="23">
        <v>45526</v>
      </c>
      <c r="T2336" s="22">
        <v>29.020000499999998</v>
      </c>
      <c r="U2336" s="22">
        <v>29.079999900000001</v>
      </c>
      <c r="V2336" s="22">
        <v>28.639999400000001</v>
      </c>
      <c r="W2336" s="22">
        <v>28.6800003</v>
      </c>
      <c r="X2336" s="22">
        <v>28.2670326</v>
      </c>
      <c r="Y2336" s="22">
        <v>429000</v>
      </c>
      <c r="Z2336" s="22">
        <v>-1.00103E-2</v>
      </c>
    </row>
    <row r="2337" spans="19:26" ht="16" x14ac:dyDescent="0.2">
      <c r="S2337" s="23">
        <v>45527</v>
      </c>
      <c r="T2337" s="22">
        <v>28.7600002</v>
      </c>
      <c r="U2337" s="22">
        <v>29.340000199999999</v>
      </c>
      <c r="V2337" s="22">
        <v>28.75</v>
      </c>
      <c r="W2337" s="22">
        <v>29.159999800000001</v>
      </c>
      <c r="X2337" s="22">
        <v>28.7401199</v>
      </c>
      <c r="Y2337" s="22">
        <v>555200</v>
      </c>
      <c r="Z2337" s="22">
        <v>1.6736359999999999E-2</v>
      </c>
    </row>
    <row r="2338" spans="19:26" ht="16" x14ac:dyDescent="0.2">
      <c r="S2338" s="23">
        <v>45530</v>
      </c>
      <c r="T2338" s="22">
        <v>29.409999800000001</v>
      </c>
      <c r="U2338" s="22">
        <v>29.479999500000002</v>
      </c>
      <c r="V2338" s="22">
        <v>29.1900005</v>
      </c>
      <c r="W2338" s="22">
        <v>29.229999500000002</v>
      </c>
      <c r="X2338" s="22">
        <v>28.809112500000001</v>
      </c>
      <c r="Y2338" s="22">
        <v>357400</v>
      </c>
      <c r="Z2338" s="22">
        <v>2.4005699999999999E-3</v>
      </c>
    </row>
    <row r="2339" spans="19:26" ht="16" x14ac:dyDescent="0.2">
      <c r="S2339" s="23">
        <v>45531</v>
      </c>
      <c r="T2339" s="22">
        <v>29.159999800000001</v>
      </c>
      <c r="U2339" s="22">
        <v>29.299999199999998</v>
      </c>
      <c r="V2339" s="22">
        <v>28.6900005</v>
      </c>
      <c r="W2339" s="22">
        <v>28.7600002</v>
      </c>
      <c r="X2339" s="22">
        <v>28.3458805</v>
      </c>
      <c r="Y2339" s="22">
        <v>925200</v>
      </c>
      <c r="Z2339" s="22">
        <v>-1.6079400000000001E-2</v>
      </c>
    </row>
    <row r="2340" spans="19:26" ht="16" x14ac:dyDescent="0.2">
      <c r="S2340" s="23">
        <v>45532</v>
      </c>
      <c r="T2340" s="22">
        <v>28.7399998</v>
      </c>
      <c r="U2340" s="22">
        <v>28.9300003</v>
      </c>
      <c r="V2340" s="22">
        <v>28.639999400000001</v>
      </c>
      <c r="W2340" s="22">
        <v>28.709999100000001</v>
      </c>
      <c r="X2340" s="22">
        <v>28.296598400000001</v>
      </c>
      <c r="Y2340" s="22">
        <v>480900</v>
      </c>
      <c r="Z2340" s="22">
        <v>-1.7386000000000001E-3</v>
      </c>
    </row>
    <row r="2341" spans="19:26" ht="16" x14ac:dyDescent="0.2">
      <c r="S2341" s="23">
        <v>45533</v>
      </c>
      <c r="T2341" s="22">
        <v>28.670000099999999</v>
      </c>
      <c r="U2341" s="22">
        <v>28.780000699999999</v>
      </c>
      <c r="V2341" s="22">
        <v>28.170000099999999</v>
      </c>
      <c r="W2341" s="22">
        <v>28.540000899999999</v>
      </c>
      <c r="X2341" s="22">
        <v>28.129049299999998</v>
      </c>
      <c r="Y2341" s="22">
        <v>709500</v>
      </c>
      <c r="Z2341" s="22">
        <v>-5.9211999999999997E-3</v>
      </c>
    </row>
    <row r="2342" spans="19:26" ht="16" x14ac:dyDescent="0.2">
      <c r="S2342" s="23">
        <v>45534</v>
      </c>
      <c r="T2342" s="22">
        <v>28.719999300000001</v>
      </c>
      <c r="U2342" s="22">
        <v>29.030000699999999</v>
      </c>
      <c r="V2342" s="22">
        <v>28.5100002</v>
      </c>
      <c r="W2342" s="22">
        <v>28.959999100000001</v>
      </c>
      <c r="X2342" s="22">
        <v>28.542999300000002</v>
      </c>
      <c r="Y2342" s="22">
        <v>853800</v>
      </c>
      <c r="Z2342" s="22">
        <v>1.4716099999999999E-2</v>
      </c>
    </row>
    <row r="2343" spans="19:26" ht="16" x14ac:dyDescent="0.2">
      <c r="S2343" s="23">
        <v>45538</v>
      </c>
      <c r="T2343" s="22">
        <v>28.579999900000001</v>
      </c>
      <c r="U2343" s="22">
        <v>28.579999900000001</v>
      </c>
      <c r="V2343" s="22">
        <v>27.959999100000001</v>
      </c>
      <c r="W2343" s="22">
        <v>28.079999900000001</v>
      </c>
      <c r="X2343" s="22">
        <v>28.079999900000001</v>
      </c>
      <c r="Y2343" s="22">
        <v>721200</v>
      </c>
      <c r="Z2343" s="22">
        <v>-1.6221099999999999E-2</v>
      </c>
    </row>
    <row r="2344" spans="19:26" ht="16" x14ac:dyDescent="0.2">
      <c r="S2344" s="23">
        <v>45539</v>
      </c>
      <c r="T2344" s="22">
        <v>28.030000699999999</v>
      </c>
      <c r="U2344" s="22">
        <v>28.159999800000001</v>
      </c>
      <c r="V2344" s="22">
        <v>27.770000499999998</v>
      </c>
      <c r="W2344" s="22">
        <v>27.770000499999998</v>
      </c>
      <c r="X2344" s="22">
        <v>27.770000499999998</v>
      </c>
      <c r="Y2344" s="22">
        <v>635300</v>
      </c>
      <c r="Z2344" s="22">
        <v>-1.10399E-2</v>
      </c>
    </row>
    <row r="2345" spans="19:26" ht="16" x14ac:dyDescent="0.2">
      <c r="S2345" s="23">
        <v>45540</v>
      </c>
      <c r="T2345" s="22">
        <v>28.049999199999998</v>
      </c>
      <c r="U2345" s="22">
        <v>28.170000099999999</v>
      </c>
      <c r="V2345" s="22">
        <v>27.790000899999999</v>
      </c>
      <c r="W2345" s="22">
        <v>28.020000499999998</v>
      </c>
      <c r="X2345" s="22">
        <v>28.020000499999998</v>
      </c>
      <c r="Y2345" s="22">
        <v>604400</v>
      </c>
      <c r="Z2345" s="22">
        <v>9.00252E-3</v>
      </c>
    </row>
    <row r="2346" spans="19:26" ht="16" x14ac:dyDescent="0.2">
      <c r="S2346" s="23">
        <v>45541</v>
      </c>
      <c r="T2346" s="22">
        <v>28.030000699999999</v>
      </c>
      <c r="U2346" s="22">
        <v>28.090000199999999</v>
      </c>
      <c r="V2346" s="22">
        <v>27.409999800000001</v>
      </c>
      <c r="W2346" s="22">
        <v>27.4899998</v>
      </c>
      <c r="X2346" s="22">
        <v>27.4899998</v>
      </c>
      <c r="Y2346" s="22">
        <v>516700</v>
      </c>
      <c r="Z2346" s="22">
        <v>-1.8915100000000001E-2</v>
      </c>
    </row>
    <row r="2347" spans="19:26" ht="16" x14ac:dyDescent="0.2">
      <c r="S2347" s="23">
        <v>45544</v>
      </c>
      <c r="T2347" s="22">
        <v>27.549999199999998</v>
      </c>
      <c r="U2347" s="22">
        <v>27.659999800000001</v>
      </c>
      <c r="V2347" s="22">
        <v>27</v>
      </c>
      <c r="W2347" s="22">
        <v>27.540000899999999</v>
      </c>
      <c r="X2347" s="22">
        <v>27.540000899999999</v>
      </c>
      <c r="Y2347" s="22">
        <v>741100</v>
      </c>
      <c r="Z2347" s="22">
        <v>1.8188799999999999E-3</v>
      </c>
    </row>
    <row r="2348" spans="19:26" ht="16" x14ac:dyDescent="0.2">
      <c r="S2348" s="23">
        <v>45545</v>
      </c>
      <c r="T2348" s="22">
        <v>27.540000899999999</v>
      </c>
      <c r="U2348" s="22">
        <v>27.8700008</v>
      </c>
      <c r="V2348" s="22">
        <v>27.299999199999998</v>
      </c>
      <c r="W2348" s="22">
        <v>27.579999900000001</v>
      </c>
      <c r="X2348" s="22">
        <v>27.579999900000001</v>
      </c>
      <c r="Y2348" s="22">
        <v>815200</v>
      </c>
      <c r="Z2348" s="22">
        <v>1.4524E-3</v>
      </c>
    </row>
    <row r="2349" spans="19:26" ht="16" x14ac:dyDescent="0.2">
      <c r="S2349" s="23">
        <v>45546</v>
      </c>
      <c r="T2349" s="22">
        <v>27.649999600000001</v>
      </c>
      <c r="U2349" s="22">
        <v>28.389999400000001</v>
      </c>
      <c r="V2349" s="22">
        <v>27.5699997</v>
      </c>
      <c r="W2349" s="22">
        <v>28.329999900000001</v>
      </c>
      <c r="X2349" s="22">
        <v>28.329999900000001</v>
      </c>
      <c r="Y2349" s="22">
        <v>636200</v>
      </c>
      <c r="Z2349" s="22">
        <v>2.7193620000000002E-2</v>
      </c>
    </row>
    <row r="2350" spans="19:26" ht="16" x14ac:dyDescent="0.2">
      <c r="S2350" s="23">
        <v>45547</v>
      </c>
      <c r="T2350" s="22">
        <v>28.340000199999999</v>
      </c>
      <c r="U2350" s="22">
        <v>28.610000599999999</v>
      </c>
      <c r="V2350" s="22">
        <v>28.2600002</v>
      </c>
      <c r="W2350" s="22">
        <v>28.409999800000001</v>
      </c>
      <c r="X2350" s="22">
        <v>28.409999800000001</v>
      </c>
      <c r="Y2350" s="22">
        <v>733100</v>
      </c>
      <c r="Z2350" s="22">
        <v>2.8238600000000001E-3</v>
      </c>
    </row>
    <row r="2351" spans="19:26" ht="16" x14ac:dyDescent="0.2">
      <c r="S2351" s="23">
        <v>45548</v>
      </c>
      <c r="T2351" s="22">
        <v>28.75</v>
      </c>
      <c r="U2351" s="22">
        <v>29.1800003</v>
      </c>
      <c r="V2351" s="22">
        <v>28.459999100000001</v>
      </c>
      <c r="W2351" s="22">
        <v>29.159999800000001</v>
      </c>
      <c r="X2351" s="22">
        <v>29.159999800000001</v>
      </c>
      <c r="Y2351" s="22">
        <v>843400</v>
      </c>
      <c r="Z2351" s="22">
        <v>2.6399160000000001E-2</v>
      </c>
    </row>
    <row r="2352" spans="19:26" ht="16" x14ac:dyDescent="0.2">
      <c r="S2352" s="23">
        <v>45551</v>
      </c>
      <c r="T2352" s="22">
        <v>29.200000800000002</v>
      </c>
      <c r="U2352" s="22">
        <v>29.389999400000001</v>
      </c>
      <c r="V2352" s="22">
        <v>28.959999100000001</v>
      </c>
      <c r="W2352" s="22">
        <v>29.329999900000001</v>
      </c>
      <c r="X2352" s="22">
        <v>29.329999900000001</v>
      </c>
      <c r="Y2352" s="22">
        <v>596400</v>
      </c>
      <c r="Z2352" s="22">
        <v>5.8299099999999998E-3</v>
      </c>
    </row>
    <row r="2353" spans="19:26" ht="16" x14ac:dyDescent="0.2">
      <c r="S2353" s="23">
        <v>45552</v>
      </c>
      <c r="T2353" s="22">
        <v>29.4400005</v>
      </c>
      <c r="U2353" s="22">
        <v>29.8700008</v>
      </c>
      <c r="V2353" s="22">
        <v>29.280000699999999</v>
      </c>
      <c r="W2353" s="22">
        <v>29.360000599999999</v>
      </c>
      <c r="X2353" s="22">
        <v>29.360000599999999</v>
      </c>
      <c r="Y2353" s="22">
        <v>753800</v>
      </c>
      <c r="Z2353" s="22">
        <v>1.0228699999999999E-3</v>
      </c>
    </row>
    <row r="2354" spans="19:26" ht="16" x14ac:dyDescent="0.2">
      <c r="S2354" s="23">
        <v>45553</v>
      </c>
      <c r="T2354" s="22">
        <v>29.399999600000001</v>
      </c>
      <c r="U2354" s="22">
        <v>29.9400005</v>
      </c>
      <c r="V2354" s="22">
        <v>29.2399998</v>
      </c>
      <c r="W2354" s="22">
        <v>29.299999199999998</v>
      </c>
      <c r="X2354" s="22">
        <v>29.299999199999998</v>
      </c>
      <c r="Y2354" s="22">
        <v>907100</v>
      </c>
      <c r="Z2354" s="22">
        <v>-2.0436E-3</v>
      </c>
    </row>
    <row r="2355" spans="19:26" ht="16" x14ac:dyDescent="0.2">
      <c r="S2355" s="23">
        <v>45554</v>
      </c>
      <c r="T2355" s="22">
        <v>29.420000099999999</v>
      </c>
      <c r="U2355" s="22">
        <v>29.600000399999999</v>
      </c>
      <c r="V2355" s="22">
        <v>28.899999600000001</v>
      </c>
      <c r="W2355" s="22">
        <v>29.0699997</v>
      </c>
      <c r="X2355" s="22">
        <v>29.0699997</v>
      </c>
      <c r="Y2355" s="22">
        <v>812900</v>
      </c>
      <c r="Z2355" s="22">
        <v>-7.8498000000000005E-3</v>
      </c>
    </row>
    <row r="2356" spans="19:26" ht="16" x14ac:dyDescent="0.2">
      <c r="S2356" s="23">
        <v>45555</v>
      </c>
      <c r="T2356" s="22">
        <v>29.209999100000001</v>
      </c>
      <c r="U2356" s="22">
        <v>29.6299992</v>
      </c>
      <c r="V2356" s="22">
        <v>29.090000199999999</v>
      </c>
      <c r="W2356" s="22">
        <v>29.600000399999999</v>
      </c>
      <c r="X2356" s="22">
        <v>29.600000399999999</v>
      </c>
      <c r="Y2356" s="22">
        <v>1921600</v>
      </c>
      <c r="Z2356" s="22">
        <v>1.8231879999999999E-2</v>
      </c>
    </row>
    <row r="2357" spans="19:26" ht="16" x14ac:dyDescent="0.2">
      <c r="S2357" s="23">
        <v>45558</v>
      </c>
      <c r="T2357" s="22">
        <v>29.709999100000001</v>
      </c>
      <c r="U2357" s="22">
        <v>29.9899998</v>
      </c>
      <c r="V2357" s="22">
        <v>29.540000899999999</v>
      </c>
      <c r="W2357" s="22">
        <v>29.920000099999999</v>
      </c>
      <c r="X2357" s="22">
        <v>29.920000099999999</v>
      </c>
      <c r="Y2357" s="22">
        <v>512600</v>
      </c>
      <c r="Z2357" s="22">
        <v>1.0810800000000001E-2</v>
      </c>
    </row>
    <row r="2358" spans="19:26" ht="16" x14ac:dyDescent="0.2">
      <c r="S2358" s="23">
        <v>45559</v>
      </c>
      <c r="T2358" s="22">
        <v>30</v>
      </c>
      <c r="U2358" s="22">
        <v>30.350000399999999</v>
      </c>
      <c r="V2358" s="22">
        <v>29.8700008</v>
      </c>
      <c r="W2358" s="22">
        <v>29.959999100000001</v>
      </c>
      <c r="X2358" s="22">
        <v>29.959999100000001</v>
      </c>
      <c r="Y2358" s="22">
        <v>561200</v>
      </c>
      <c r="Z2358" s="22">
        <v>1.33687E-3</v>
      </c>
    </row>
    <row r="2359" spans="19:26" ht="16" x14ac:dyDescent="0.2">
      <c r="S2359" s="23">
        <v>45560</v>
      </c>
      <c r="T2359" s="22">
        <v>30.049999199999998</v>
      </c>
      <c r="U2359" s="22">
        <v>30.579999900000001</v>
      </c>
      <c r="V2359" s="22">
        <v>29.9400005</v>
      </c>
      <c r="W2359" s="22">
        <v>30.469999300000001</v>
      </c>
      <c r="X2359" s="22">
        <v>30.469999300000001</v>
      </c>
      <c r="Y2359" s="22">
        <v>732600</v>
      </c>
      <c r="Z2359" s="22">
        <v>1.702271E-2</v>
      </c>
    </row>
    <row r="2360" spans="19:26" ht="16" x14ac:dyDescent="0.2">
      <c r="S2360" s="23">
        <v>45561</v>
      </c>
      <c r="T2360" s="22">
        <v>30.549999199999998</v>
      </c>
      <c r="U2360" s="22">
        <v>30.639999400000001</v>
      </c>
      <c r="V2360" s="22">
        <v>30.0100002</v>
      </c>
      <c r="W2360" s="22">
        <v>30.020000499999998</v>
      </c>
      <c r="X2360" s="22">
        <v>30.020000499999998</v>
      </c>
      <c r="Y2360" s="22">
        <v>540700</v>
      </c>
      <c r="Z2360" s="22">
        <v>-1.47686E-2</v>
      </c>
    </row>
    <row r="2361" spans="19:26" ht="16" x14ac:dyDescent="0.2">
      <c r="S2361" s="23">
        <v>45562</v>
      </c>
      <c r="T2361" s="22">
        <v>30.280000699999999</v>
      </c>
      <c r="U2361" s="22">
        <v>30.530000699999999</v>
      </c>
      <c r="V2361" s="22">
        <v>30.1800003</v>
      </c>
      <c r="W2361" s="22">
        <v>30.5</v>
      </c>
      <c r="X2361" s="22">
        <v>30.5</v>
      </c>
      <c r="Y2361" s="22">
        <v>513600</v>
      </c>
      <c r="Z2361" s="22">
        <v>1.5989320000000001E-2</v>
      </c>
    </row>
    <row r="2362" spans="19:26" ht="16" x14ac:dyDescent="0.2">
      <c r="S2362" s="23">
        <v>45565</v>
      </c>
      <c r="T2362" s="22">
        <v>30.520000499999998</v>
      </c>
      <c r="U2362" s="22">
        <v>30.6900005</v>
      </c>
      <c r="V2362" s="22">
        <v>30.270000499999998</v>
      </c>
      <c r="W2362" s="22">
        <v>30.6800003</v>
      </c>
      <c r="X2362" s="22">
        <v>30.6800003</v>
      </c>
      <c r="Y2362" s="22">
        <v>613100</v>
      </c>
      <c r="Z2362" s="22">
        <v>5.9016499999999996E-3</v>
      </c>
    </row>
    <row r="2363" spans="19:26" ht="16" x14ac:dyDescent="0.2">
      <c r="S2363" s="23">
        <v>45566</v>
      </c>
      <c r="T2363" s="22">
        <v>30.790000899999999</v>
      </c>
      <c r="U2363" s="22">
        <v>30.920000099999999</v>
      </c>
      <c r="V2363" s="22">
        <v>30.579999900000001</v>
      </c>
      <c r="W2363" s="22">
        <v>30.7399998</v>
      </c>
      <c r="X2363" s="22">
        <v>30.7399998</v>
      </c>
      <c r="Y2363" s="22">
        <v>587300</v>
      </c>
      <c r="Z2363" s="22">
        <v>1.9556500000000002E-3</v>
      </c>
    </row>
    <row r="2364" spans="19:26" ht="16" x14ac:dyDescent="0.2">
      <c r="S2364" s="23">
        <v>45567</v>
      </c>
      <c r="T2364" s="22">
        <v>30.479999500000002</v>
      </c>
      <c r="U2364" s="22">
        <v>30.639999400000001</v>
      </c>
      <c r="V2364" s="22">
        <v>29.7399998</v>
      </c>
      <c r="W2364" s="22">
        <v>29.790000899999999</v>
      </c>
      <c r="X2364" s="22">
        <v>29.790000899999999</v>
      </c>
      <c r="Y2364" s="22">
        <v>925400</v>
      </c>
      <c r="Z2364" s="22">
        <v>-3.0904299999999999E-2</v>
      </c>
    </row>
    <row r="2365" spans="19:26" ht="16" x14ac:dyDescent="0.2">
      <c r="S2365" s="23">
        <v>45568</v>
      </c>
      <c r="T2365" s="22">
        <v>29.75</v>
      </c>
      <c r="U2365" s="22">
        <v>29.899999600000001</v>
      </c>
      <c r="V2365" s="22">
        <v>29.139999400000001</v>
      </c>
      <c r="W2365" s="22">
        <v>29.200000800000002</v>
      </c>
      <c r="X2365" s="22">
        <v>29.200000800000002</v>
      </c>
      <c r="Y2365" s="22">
        <v>1109200</v>
      </c>
      <c r="Z2365" s="22">
        <v>-1.9805300000000001E-2</v>
      </c>
    </row>
    <row r="2366" spans="19:26" ht="16" x14ac:dyDescent="0.2">
      <c r="S2366" s="23">
        <v>45569</v>
      </c>
      <c r="T2366" s="22">
        <v>29.170000099999999</v>
      </c>
      <c r="U2366" s="22">
        <v>29.670000099999999</v>
      </c>
      <c r="V2366" s="22">
        <v>29.170000099999999</v>
      </c>
      <c r="W2366" s="22">
        <v>29.5599995</v>
      </c>
      <c r="X2366" s="22">
        <v>29.5599995</v>
      </c>
      <c r="Y2366" s="22">
        <v>1083000</v>
      </c>
      <c r="Z2366" s="22">
        <v>1.232872E-2</v>
      </c>
    </row>
    <row r="2367" spans="19:26" ht="16" x14ac:dyDescent="0.2">
      <c r="S2367" s="23">
        <v>45572</v>
      </c>
      <c r="T2367" s="22">
        <v>29.530000699999999</v>
      </c>
      <c r="U2367" s="22">
        <v>29.610000599999999</v>
      </c>
      <c r="V2367" s="22">
        <v>28.7600002</v>
      </c>
      <c r="W2367" s="22">
        <v>28.850000399999999</v>
      </c>
      <c r="X2367" s="22">
        <v>28.850000399999999</v>
      </c>
      <c r="Y2367" s="22">
        <v>456900</v>
      </c>
      <c r="Z2367" s="22">
        <v>-2.4018899999999999E-2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MRZAPP</vt:lpstr>
      <vt:lpstr>MSYANNY</vt:lpstr>
      <vt:lpstr>computations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González Álvarez</dc:creator>
  <cp:lastModifiedBy>EDOARDO ANFELLI</cp:lastModifiedBy>
  <dcterms:created xsi:type="dcterms:W3CDTF">2024-10-09T15:12:18Z</dcterms:created>
  <dcterms:modified xsi:type="dcterms:W3CDTF">2024-10-10T22:28:59Z</dcterms:modified>
</cp:coreProperties>
</file>